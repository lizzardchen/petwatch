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lizzardchen/work/game/FightPet/docs/"/>
    </mc:Choice>
  </mc:AlternateContent>
  <xr:revisionPtr revIDLastSave="0" documentId="8_{639AAB60-E398-5745-AD98-AFD022C99871}" xr6:coauthVersionLast="45" xr6:coauthVersionMax="45" xr10:uidLastSave="{00000000-0000-0000-0000-000000000000}"/>
  <bookViews>
    <workbookView xWindow="0" yWindow="500" windowWidth="29040" windowHeight="17520" xr2:uid="{00000000-000D-0000-FFFF-FFFF00000000}"/>
  </bookViews>
  <sheets>
    <sheet name="等级（原始）" sheetId="1" r:id="rId1"/>
    <sheet name="等级（额外奖励）" sheetId="2" r:id="rId2"/>
    <sheet name="经验加成" sheetId="3" r:id="rId3"/>
    <sheet name="钻石产出" sheetId="4" r:id="rId4"/>
    <sheet name="战斗公式" sheetId="5" r:id="rId5"/>
    <sheet name="初始数据说明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3" l="1"/>
  <c r="G31" i="3"/>
  <c r="G32" i="3" s="1"/>
  <c r="G33" i="3" s="1"/>
  <c r="G34" i="3" s="1"/>
  <c r="G35" i="3" s="1"/>
  <c r="G36" i="3" s="1"/>
  <c r="G37" i="3" s="1"/>
  <c r="G38" i="3" s="1"/>
  <c r="G39" i="3" s="1"/>
  <c r="G40" i="3" s="1"/>
  <c r="H40" i="3" s="1"/>
  <c r="G18" i="3"/>
  <c r="G19" i="3" s="1"/>
  <c r="G20" i="3" s="1"/>
  <c r="G21" i="3" s="1"/>
  <c r="G22" i="3" s="1"/>
  <c r="G23" i="3" s="1"/>
  <c r="G24" i="3" s="1"/>
  <c r="G25" i="3" s="1"/>
  <c r="G26" i="3" s="1"/>
  <c r="G27" i="3" s="1"/>
  <c r="H27" i="3" s="1"/>
  <c r="G6" i="3"/>
  <c r="G7" i="3" s="1"/>
  <c r="G5" i="3"/>
  <c r="D32" i="3"/>
  <c r="D33" i="3" s="1"/>
  <c r="D34" i="3" s="1"/>
  <c r="D35" i="3" s="1"/>
  <c r="D36" i="3" s="1"/>
  <c r="D37" i="3" s="1"/>
  <c r="D38" i="3" s="1"/>
  <c r="D39" i="3" s="1"/>
  <c r="D40" i="3" s="1"/>
  <c r="D19" i="3"/>
  <c r="D20" i="3" s="1"/>
  <c r="D21" i="3" s="1"/>
  <c r="D22" i="3" s="1"/>
  <c r="D23" i="3" s="1"/>
  <c r="D24" i="3" s="1"/>
  <c r="D25" i="3" s="1"/>
  <c r="D26" i="3" s="1"/>
  <c r="D27" i="3" s="1"/>
  <c r="D6" i="3"/>
  <c r="D7" i="3" s="1"/>
  <c r="D8" i="3" s="1"/>
  <c r="D9" i="3" s="1"/>
  <c r="D10" i="3" s="1"/>
  <c r="D11" i="3" s="1"/>
  <c r="D12" i="3" s="1"/>
  <c r="D13" i="3" s="1"/>
  <c r="D14" i="3" s="1"/>
  <c r="C32" i="3"/>
  <c r="C33" i="3" s="1"/>
  <c r="C34" i="3" s="1"/>
  <c r="C35" i="3" s="1"/>
  <c r="C36" i="3" s="1"/>
  <c r="C37" i="3" s="1"/>
  <c r="C38" i="3" s="1"/>
  <c r="C39" i="3" s="1"/>
  <c r="C40" i="3" s="1"/>
  <c r="C19" i="3"/>
  <c r="C20" i="3" s="1"/>
  <c r="C21" i="3" s="1"/>
  <c r="C22" i="3" s="1"/>
  <c r="C23" i="3" s="1"/>
  <c r="C24" i="3" s="1"/>
  <c r="C25" i="3" s="1"/>
  <c r="C26" i="3" s="1"/>
  <c r="C27" i="3" s="1"/>
  <c r="C6" i="3"/>
  <c r="C7" i="3" s="1"/>
  <c r="C8" i="3" s="1"/>
  <c r="C9" i="3" s="1"/>
  <c r="C10" i="3" s="1"/>
  <c r="C11" i="3" s="1"/>
  <c r="C12" i="3" s="1"/>
  <c r="C13" i="3" s="1"/>
  <c r="C14" i="3" s="1"/>
  <c r="M89" i="2"/>
  <c r="M81" i="2"/>
  <c r="M73" i="2"/>
  <c r="M65" i="2"/>
  <c r="M57" i="2"/>
  <c r="M49" i="2"/>
  <c r="M41" i="2"/>
  <c r="M33" i="2"/>
  <c r="M25" i="2"/>
  <c r="M17" i="2"/>
  <c r="M9" i="2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L89" i="2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L81" i="2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L73" i="2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L65" i="2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L57" i="2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L49" i="2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L41" i="2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L33" i="2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L25" i="2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L17" i="2"/>
  <c r="L16" i="2"/>
  <c r="M16" i="2" s="1"/>
  <c r="N16" i="2" s="1"/>
  <c r="L15" i="2"/>
  <c r="M15" i="2" s="1"/>
  <c r="N15" i="2" s="1"/>
  <c r="L14" i="2"/>
  <c r="M14" i="2" s="1"/>
  <c r="N14" i="2" s="1"/>
  <c r="L13" i="2"/>
  <c r="M13" i="2" s="1"/>
  <c r="N13" i="2" s="1"/>
  <c r="L12" i="2"/>
  <c r="M12" i="2" s="1"/>
  <c r="N12" i="2" s="1"/>
  <c r="L11" i="2"/>
  <c r="M11" i="2" s="1"/>
  <c r="N11" i="2" s="1"/>
  <c r="L10" i="2"/>
  <c r="L9" i="2"/>
  <c r="L8" i="2"/>
  <c r="M8" i="2" s="1"/>
  <c r="N8" i="2" s="1"/>
  <c r="L7" i="2"/>
  <c r="M7" i="2" s="1"/>
  <c r="N7" i="2" s="1"/>
  <c r="L6" i="2"/>
  <c r="M6" i="2" s="1"/>
  <c r="N6" i="2" s="1"/>
  <c r="L5" i="2"/>
  <c r="M5" i="2" s="1"/>
  <c r="N5" i="2" s="1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M90" i="2" s="1"/>
  <c r="G89" i="2"/>
  <c r="G88" i="2"/>
  <c r="G87" i="2"/>
  <c r="G86" i="2"/>
  <c r="G85" i="2"/>
  <c r="G84" i="2"/>
  <c r="G83" i="2"/>
  <c r="G82" i="2"/>
  <c r="M82" i="2" s="1"/>
  <c r="G81" i="2"/>
  <c r="G80" i="2"/>
  <c r="G79" i="2"/>
  <c r="G78" i="2"/>
  <c r="G77" i="2"/>
  <c r="G76" i="2"/>
  <c r="G75" i="2"/>
  <c r="G74" i="2"/>
  <c r="M74" i="2" s="1"/>
  <c r="G73" i="2"/>
  <c r="G72" i="2"/>
  <c r="G71" i="2"/>
  <c r="G70" i="2"/>
  <c r="G69" i="2"/>
  <c r="G68" i="2"/>
  <c r="G67" i="2"/>
  <c r="G66" i="2"/>
  <c r="M66" i="2" s="1"/>
  <c r="G65" i="2"/>
  <c r="G64" i="2"/>
  <c r="G63" i="2"/>
  <c r="G62" i="2"/>
  <c r="G61" i="2"/>
  <c r="G60" i="2"/>
  <c r="G59" i="2"/>
  <c r="G58" i="2"/>
  <c r="M58" i="2" s="1"/>
  <c r="G57" i="2"/>
  <c r="G56" i="2"/>
  <c r="G55" i="2"/>
  <c r="G54" i="2"/>
  <c r="G53" i="2"/>
  <c r="G52" i="2"/>
  <c r="G51" i="2"/>
  <c r="G50" i="2"/>
  <c r="M50" i="2" s="1"/>
  <c r="G49" i="2"/>
  <c r="G48" i="2"/>
  <c r="G47" i="2"/>
  <c r="G46" i="2"/>
  <c r="G45" i="2"/>
  <c r="G44" i="2"/>
  <c r="G43" i="2"/>
  <c r="G42" i="2"/>
  <c r="M42" i="2" s="1"/>
  <c r="G41" i="2"/>
  <c r="G40" i="2"/>
  <c r="G39" i="2"/>
  <c r="G38" i="2"/>
  <c r="G37" i="2"/>
  <c r="G36" i="2"/>
  <c r="G35" i="2"/>
  <c r="G34" i="2"/>
  <c r="M34" i="2" s="1"/>
  <c r="G33" i="2"/>
  <c r="G32" i="2"/>
  <c r="G31" i="2"/>
  <c r="G30" i="2"/>
  <c r="G29" i="2"/>
  <c r="G28" i="2"/>
  <c r="G27" i="2"/>
  <c r="G26" i="2"/>
  <c r="M26" i="2" s="1"/>
  <c r="G25" i="2"/>
  <c r="G24" i="2"/>
  <c r="G23" i="2"/>
  <c r="G22" i="2"/>
  <c r="G21" i="2"/>
  <c r="G20" i="2"/>
  <c r="G19" i="2"/>
  <c r="G18" i="2"/>
  <c r="M18" i="2" s="1"/>
  <c r="G17" i="2"/>
  <c r="G16" i="2"/>
  <c r="G15" i="2"/>
  <c r="G14" i="2"/>
  <c r="G13" i="2"/>
  <c r="G12" i="2"/>
  <c r="G11" i="2"/>
  <c r="G10" i="2"/>
  <c r="M10" i="2" s="1"/>
  <c r="G9" i="2"/>
  <c r="G8" i="2"/>
  <c r="G7" i="2"/>
  <c r="G6" i="2"/>
  <c r="G5" i="2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D14" i="2"/>
  <c r="D15" i="2" s="1"/>
  <c r="D16" i="2" s="1"/>
  <c r="E13" i="2"/>
  <c r="E12" i="2"/>
  <c r="D8" i="2"/>
  <c r="D9" i="2" s="1"/>
  <c r="N9" i="2" s="1"/>
  <c r="D6" i="2"/>
  <c r="D14" i="1"/>
  <c r="E13" i="1"/>
  <c r="E12" i="1"/>
  <c r="D6" i="1"/>
  <c r="E7" i="1" s="1"/>
  <c r="H5" i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G8" i="3" l="1"/>
  <c r="H7" i="3"/>
  <c r="N10" i="2"/>
  <c r="H22" i="3"/>
  <c r="H33" i="3"/>
  <c r="H23" i="3"/>
  <c r="H34" i="3"/>
  <c r="H24" i="3"/>
  <c r="H35" i="3"/>
  <c r="H6" i="3"/>
  <c r="H25" i="3"/>
  <c r="H36" i="3"/>
  <c r="H18" i="3"/>
  <c r="H26" i="3"/>
  <c r="H37" i="3"/>
  <c r="H19" i="3"/>
  <c r="H38" i="3"/>
  <c r="H20" i="3"/>
  <c r="H31" i="3"/>
  <c r="H39" i="3"/>
  <c r="H21" i="3"/>
  <c r="H32" i="3"/>
  <c r="E7" i="2"/>
  <c r="O14" i="2"/>
  <c r="P14" i="2" s="1"/>
  <c r="D10" i="2"/>
  <c r="D17" i="2"/>
  <c r="N17" i="2" s="1"/>
  <c r="H7" i="1"/>
  <c r="G9" i="3" l="1"/>
  <c r="H8" i="3"/>
  <c r="D18" i="2"/>
  <c r="N18" i="2" s="1"/>
  <c r="E11" i="2"/>
  <c r="H11" i="1"/>
  <c r="G10" i="3" l="1"/>
  <c r="H9" i="3"/>
  <c r="D19" i="2"/>
  <c r="N19" i="2" s="1"/>
  <c r="H12" i="1"/>
  <c r="G11" i="3" l="1"/>
  <c r="H10" i="3"/>
  <c r="D20" i="2"/>
  <c r="N20" i="2" s="1"/>
  <c r="H14" i="1"/>
  <c r="I14" i="1" s="1"/>
  <c r="J14" i="1" s="1"/>
  <c r="H13" i="1"/>
  <c r="G12" i="3" l="1"/>
  <c r="H11" i="3"/>
  <c r="D21" i="2"/>
  <c r="N21" i="2" s="1"/>
  <c r="H6" i="1"/>
  <c r="D15" i="1"/>
  <c r="H15" i="1" s="1"/>
  <c r="D8" i="1"/>
  <c r="H8" i="1" s="1"/>
  <c r="G13" i="3" l="1"/>
  <c r="H12" i="3"/>
  <c r="D22" i="2"/>
  <c r="N22" i="2" s="1"/>
  <c r="D16" i="1"/>
  <c r="D9" i="1"/>
  <c r="G14" i="3" l="1"/>
  <c r="H14" i="3" s="1"/>
  <c r="H13" i="3"/>
  <c r="D23" i="2"/>
  <c r="N23" i="2" s="1"/>
  <c r="H16" i="1"/>
  <c r="D17" i="1"/>
  <c r="H9" i="1"/>
  <c r="D10" i="1"/>
  <c r="H10" i="1" l="1"/>
  <c r="E11" i="1"/>
  <c r="D24" i="2"/>
  <c r="N24" i="2" s="1"/>
  <c r="H17" i="1"/>
  <c r="D18" i="1"/>
  <c r="D25" i="2" l="1"/>
  <c r="N25" i="2" s="1"/>
  <c r="O24" i="2"/>
  <c r="P24" i="2" s="1"/>
  <c r="D19" i="1"/>
  <c r="H18" i="1"/>
  <c r="D26" i="2" l="1"/>
  <c r="N26" i="2" s="1"/>
  <c r="H19" i="1"/>
  <c r="D20" i="1"/>
  <c r="D27" i="2" l="1"/>
  <c r="N27" i="2" s="1"/>
  <c r="H20" i="1"/>
  <c r="D21" i="1"/>
  <c r="D28" i="2" l="1"/>
  <c r="N28" i="2" s="1"/>
  <c r="D22" i="1"/>
  <c r="H21" i="1"/>
  <c r="D29" i="2" l="1"/>
  <c r="N29" i="2" s="1"/>
  <c r="H22" i="1"/>
  <c r="D23" i="1"/>
  <c r="D30" i="2" l="1"/>
  <c r="N30" i="2" s="1"/>
  <c r="H23" i="1"/>
  <c r="D24" i="1"/>
  <c r="D31" i="2" l="1"/>
  <c r="N31" i="2" s="1"/>
  <c r="D25" i="1"/>
  <c r="H24" i="1"/>
  <c r="I24" i="1" s="1"/>
  <c r="J24" i="1" s="1"/>
  <c r="D32" i="2" l="1"/>
  <c r="N32" i="2" s="1"/>
  <c r="H25" i="1"/>
  <c r="D26" i="1"/>
  <c r="D33" i="2" l="1"/>
  <c r="N33" i="2" s="1"/>
  <c r="H26" i="1"/>
  <c r="D27" i="1"/>
  <c r="D34" i="2" l="1"/>
  <c r="N34" i="2" s="1"/>
  <c r="H27" i="1"/>
  <c r="D28" i="1"/>
  <c r="D35" i="2" l="1"/>
  <c r="N35" i="2" s="1"/>
  <c r="O34" i="2"/>
  <c r="P34" i="2" s="1"/>
  <c r="H28" i="1"/>
  <c r="D29" i="1"/>
  <c r="D36" i="2" l="1"/>
  <c r="N36" i="2" s="1"/>
  <c r="H29" i="1"/>
  <c r="D30" i="1"/>
  <c r="D37" i="2" l="1"/>
  <c r="N37" i="2" s="1"/>
  <c r="H30" i="1"/>
  <c r="D31" i="1"/>
  <c r="D38" i="2" l="1"/>
  <c r="N38" i="2" s="1"/>
  <c r="H31" i="1"/>
  <c r="D32" i="1"/>
  <c r="D39" i="2" l="1"/>
  <c r="N39" i="2" s="1"/>
  <c r="H32" i="1"/>
  <c r="D33" i="1"/>
  <c r="D40" i="2" l="1"/>
  <c r="N40" i="2" s="1"/>
  <c r="H33" i="1"/>
  <c r="D34" i="1"/>
  <c r="D41" i="2" l="1"/>
  <c r="N41" i="2" s="1"/>
  <c r="H34" i="1"/>
  <c r="I34" i="1" s="1"/>
  <c r="J34" i="1" s="1"/>
  <c r="D35" i="1"/>
  <c r="D42" i="2" l="1"/>
  <c r="N42" i="2" s="1"/>
  <c r="H35" i="1"/>
  <c r="D36" i="1"/>
  <c r="D43" i="2" l="1"/>
  <c r="N43" i="2" s="1"/>
  <c r="H36" i="1"/>
  <c r="D37" i="1"/>
  <c r="D44" i="2" l="1"/>
  <c r="N44" i="2" s="1"/>
  <c r="H37" i="1"/>
  <c r="D38" i="1"/>
  <c r="D45" i="2" l="1"/>
  <c r="N45" i="2" s="1"/>
  <c r="O44" i="2"/>
  <c r="P44" i="2" s="1"/>
  <c r="H38" i="1"/>
  <c r="D39" i="1"/>
  <c r="D46" i="2" l="1"/>
  <c r="N46" i="2" s="1"/>
  <c r="H39" i="1"/>
  <c r="D40" i="1"/>
  <c r="D47" i="2" l="1"/>
  <c r="N47" i="2" s="1"/>
  <c r="H40" i="1"/>
  <c r="D41" i="1"/>
  <c r="D48" i="2" l="1"/>
  <c r="N48" i="2" s="1"/>
  <c r="H41" i="1"/>
  <c r="D42" i="1"/>
  <c r="D49" i="2" l="1"/>
  <c r="N49" i="2" s="1"/>
  <c r="H42" i="1"/>
  <c r="D43" i="1"/>
  <c r="D50" i="2" l="1"/>
  <c r="N50" i="2" s="1"/>
  <c r="D44" i="1"/>
  <c r="H43" i="1"/>
  <c r="D51" i="2" l="1"/>
  <c r="N51" i="2" s="1"/>
  <c r="H44" i="1"/>
  <c r="I44" i="1" s="1"/>
  <c r="J44" i="1" s="1"/>
  <c r="D45" i="1"/>
  <c r="D52" i="2" l="1"/>
  <c r="N52" i="2" s="1"/>
  <c r="H45" i="1"/>
  <c r="D46" i="1"/>
  <c r="D53" i="2" l="1"/>
  <c r="N53" i="2" s="1"/>
  <c r="H46" i="1"/>
  <c r="D47" i="1"/>
  <c r="D54" i="2" l="1"/>
  <c r="N54" i="2" s="1"/>
  <c r="D48" i="1"/>
  <c r="H47" i="1"/>
  <c r="D55" i="2" l="1"/>
  <c r="N55" i="2" s="1"/>
  <c r="O54" i="2"/>
  <c r="P54" i="2" s="1"/>
  <c r="D49" i="1"/>
  <c r="H48" i="1"/>
  <c r="D56" i="2" l="1"/>
  <c r="N56" i="2" s="1"/>
  <c r="H49" i="1"/>
  <c r="D50" i="1"/>
  <c r="D57" i="2" l="1"/>
  <c r="N57" i="2" s="1"/>
  <c r="D51" i="1"/>
  <c r="H50" i="1"/>
  <c r="D58" i="2" l="1"/>
  <c r="N58" i="2" s="1"/>
  <c r="H51" i="1"/>
  <c r="D52" i="1"/>
  <c r="D59" i="2" l="1"/>
  <c r="N59" i="2" s="1"/>
  <c r="H52" i="1"/>
  <c r="D53" i="1"/>
  <c r="D60" i="2" l="1"/>
  <c r="N60" i="2" s="1"/>
  <c r="H53" i="1"/>
  <c r="D54" i="1"/>
  <c r="D61" i="2" l="1"/>
  <c r="N61" i="2" s="1"/>
  <c r="H54" i="1"/>
  <c r="I54" i="1" s="1"/>
  <c r="J54" i="1" s="1"/>
  <c r="D55" i="1"/>
  <c r="D62" i="2" l="1"/>
  <c r="N62" i="2" s="1"/>
  <c r="H55" i="1"/>
  <c r="D56" i="1"/>
  <c r="D63" i="2" l="1"/>
  <c r="N63" i="2" s="1"/>
  <c r="D57" i="1"/>
  <c r="H56" i="1"/>
  <c r="D64" i="2" l="1"/>
  <c r="N64" i="2" s="1"/>
  <c r="H57" i="1"/>
  <c r="D58" i="1"/>
  <c r="D65" i="2" l="1"/>
  <c r="N65" i="2" s="1"/>
  <c r="O64" i="2"/>
  <c r="P64" i="2" s="1"/>
  <c r="H58" i="1"/>
  <c r="D59" i="1"/>
  <c r="D66" i="2" l="1"/>
  <c r="N66" i="2" s="1"/>
  <c r="H59" i="1"/>
  <c r="D60" i="1"/>
  <c r="D67" i="2" l="1"/>
  <c r="N67" i="2" s="1"/>
  <c r="H60" i="1"/>
  <c r="D61" i="1"/>
  <c r="D68" i="2" l="1"/>
  <c r="N68" i="2" s="1"/>
  <c r="H61" i="1"/>
  <c r="D62" i="1"/>
  <c r="D69" i="2" l="1"/>
  <c r="N69" i="2" s="1"/>
  <c r="H62" i="1"/>
  <c r="D63" i="1"/>
  <c r="D70" i="2" l="1"/>
  <c r="N70" i="2" s="1"/>
  <c r="H63" i="1"/>
  <c r="D64" i="1"/>
  <c r="D71" i="2" l="1"/>
  <c r="N71" i="2" s="1"/>
  <c r="H64" i="1"/>
  <c r="I64" i="1" s="1"/>
  <c r="J64" i="1" s="1"/>
  <c r="D65" i="1"/>
  <c r="D72" i="2" l="1"/>
  <c r="N72" i="2" s="1"/>
  <c r="D66" i="1"/>
  <c r="H65" i="1"/>
  <c r="D73" i="2" l="1"/>
  <c r="N73" i="2" s="1"/>
  <c r="H66" i="1"/>
  <c r="D67" i="1"/>
  <c r="D74" i="2" l="1"/>
  <c r="N74" i="2" s="1"/>
  <c r="H67" i="1"/>
  <c r="D68" i="1"/>
  <c r="D75" i="2" l="1"/>
  <c r="N75" i="2" s="1"/>
  <c r="O74" i="2"/>
  <c r="P74" i="2" s="1"/>
  <c r="H68" i="1"/>
  <c r="D69" i="1"/>
  <c r="D76" i="2" l="1"/>
  <c r="N76" i="2" s="1"/>
  <c r="H69" i="1"/>
  <c r="D70" i="1"/>
  <c r="D77" i="2" l="1"/>
  <c r="N77" i="2" s="1"/>
  <c r="H70" i="1"/>
  <c r="D71" i="1"/>
  <c r="D78" i="2" l="1"/>
  <c r="N78" i="2" s="1"/>
  <c r="H71" i="1"/>
  <c r="D72" i="1"/>
  <c r="D79" i="2" l="1"/>
  <c r="N79" i="2" s="1"/>
  <c r="H72" i="1"/>
  <c r="D73" i="1"/>
  <c r="D80" i="2" l="1"/>
  <c r="N80" i="2" s="1"/>
  <c r="H73" i="1"/>
  <c r="D74" i="1"/>
  <c r="D81" i="2" l="1"/>
  <c r="N81" i="2" s="1"/>
  <c r="D75" i="1"/>
  <c r="H74" i="1"/>
  <c r="I74" i="1" s="1"/>
  <c r="J74" i="1" s="1"/>
  <c r="D82" i="2" l="1"/>
  <c r="N82" i="2" s="1"/>
  <c r="D76" i="1"/>
  <c r="H75" i="1"/>
  <c r="D83" i="2" l="1"/>
  <c r="N83" i="2" s="1"/>
  <c r="H76" i="1"/>
  <c r="D77" i="1"/>
  <c r="D84" i="2" l="1"/>
  <c r="N84" i="2" s="1"/>
  <c r="H77" i="1"/>
  <c r="D78" i="1"/>
  <c r="D85" i="2" l="1"/>
  <c r="N85" i="2" s="1"/>
  <c r="O84" i="2"/>
  <c r="P84" i="2" s="1"/>
  <c r="H78" i="1"/>
  <c r="D79" i="1"/>
  <c r="D86" i="2" l="1"/>
  <c r="N86" i="2" s="1"/>
  <c r="H79" i="1"/>
  <c r="D80" i="1"/>
  <c r="D87" i="2" l="1"/>
  <c r="N87" i="2" s="1"/>
  <c r="H80" i="1"/>
  <c r="D81" i="1"/>
  <c r="D88" i="2" l="1"/>
  <c r="N88" i="2" s="1"/>
  <c r="H81" i="1"/>
  <c r="D82" i="1"/>
  <c r="D89" i="2" l="1"/>
  <c r="N89" i="2" s="1"/>
  <c r="H82" i="1"/>
  <c r="D83" i="1"/>
  <c r="D90" i="2" l="1"/>
  <c r="N90" i="2" s="1"/>
  <c r="H83" i="1"/>
  <c r="D84" i="1"/>
  <c r="D91" i="2" l="1"/>
  <c r="N91" i="2" s="1"/>
  <c r="H84" i="1"/>
  <c r="I84" i="1" s="1"/>
  <c r="J84" i="1" s="1"/>
  <c r="D85" i="1"/>
  <c r="D92" i="2" l="1"/>
  <c r="N92" i="2" s="1"/>
  <c r="H85" i="1"/>
  <c r="D86" i="1"/>
  <c r="D93" i="2" l="1"/>
  <c r="N93" i="2" s="1"/>
  <c r="H86" i="1"/>
  <c r="D87" i="1"/>
  <c r="D94" i="2" l="1"/>
  <c r="N94" i="2" s="1"/>
  <c r="H87" i="1"/>
  <c r="D88" i="1"/>
  <c r="D95" i="2" l="1"/>
  <c r="N95" i="2" s="1"/>
  <c r="O94" i="2"/>
  <c r="P94" i="2" s="1"/>
  <c r="H88" i="1"/>
  <c r="D89" i="1"/>
  <c r="D96" i="2" l="1"/>
  <c r="N96" i="2" s="1"/>
  <c r="H89" i="1"/>
  <c r="D90" i="1"/>
  <c r="D97" i="2" l="1"/>
  <c r="N97" i="2" s="1"/>
  <c r="H90" i="1"/>
  <c r="D91" i="1"/>
  <c r="D98" i="2" l="1"/>
  <c r="N98" i="2" s="1"/>
  <c r="H91" i="1"/>
  <c r="D92" i="1"/>
  <c r="D99" i="2" l="1"/>
  <c r="N99" i="2" s="1"/>
  <c r="H92" i="1"/>
  <c r="D93" i="1"/>
  <c r="D100" i="2" l="1"/>
  <c r="N100" i="2" s="1"/>
  <c r="H93" i="1"/>
  <c r="D94" i="1"/>
  <c r="D101" i="2" l="1"/>
  <c r="N101" i="2" s="1"/>
  <c r="H94" i="1"/>
  <c r="I94" i="1" s="1"/>
  <c r="J94" i="1" s="1"/>
  <c r="D95" i="1"/>
  <c r="D102" i="2" l="1"/>
  <c r="N102" i="2" s="1"/>
  <c r="D96" i="1"/>
  <c r="H95" i="1"/>
  <c r="D103" i="2" l="1"/>
  <c r="H96" i="1"/>
  <c r="D97" i="1"/>
  <c r="N103" i="2" l="1"/>
  <c r="O103" i="2" s="1"/>
  <c r="P103" i="2" s="1"/>
  <c r="D98" i="1"/>
  <c r="H97" i="1"/>
  <c r="D99" i="1" l="1"/>
  <c r="H98" i="1"/>
  <c r="H99" i="1" l="1"/>
  <c r="D100" i="1"/>
  <c r="D101" i="1" l="1"/>
  <c r="H100" i="1"/>
  <c r="D102" i="1" l="1"/>
  <c r="H101" i="1"/>
  <c r="D103" i="1" l="1"/>
  <c r="H103" i="1" s="1"/>
  <c r="I103" i="1" s="1"/>
  <c r="J103" i="1" s="1"/>
  <c r="H102" i="1"/>
</calcChain>
</file>

<file path=xl/sharedStrings.xml><?xml version="1.0" encoding="utf-8"?>
<sst xmlns="http://schemas.openxmlformats.org/spreadsheetml/2006/main" count="109" uniqueCount="76">
  <si>
    <t>等级</t>
    <phoneticPr fontId="1" type="noConversion"/>
  </si>
  <si>
    <t>升级经验</t>
    <phoneticPr fontId="1" type="noConversion"/>
  </si>
  <si>
    <t>初始经验</t>
    <phoneticPr fontId="1" type="noConversion"/>
  </si>
  <si>
    <t>挂机经验（秒)</t>
    <phoneticPr fontId="1" type="noConversion"/>
  </si>
  <si>
    <t>所需时间(分钟）</t>
    <phoneticPr fontId="1" type="noConversion"/>
  </si>
  <si>
    <t>升级所需系数</t>
    <phoneticPr fontId="1" type="noConversion"/>
  </si>
  <si>
    <t>所需时间(小时）</t>
    <phoneticPr fontId="1" type="noConversion"/>
  </si>
  <si>
    <t>所需时间(天）</t>
    <phoneticPr fontId="1" type="noConversion"/>
  </si>
  <si>
    <t>睡眠所得</t>
    <phoneticPr fontId="1" type="noConversion"/>
  </si>
  <si>
    <t>双倍经验卡</t>
    <phoneticPr fontId="1" type="noConversion"/>
  </si>
  <si>
    <t>建筑1加成</t>
    <phoneticPr fontId="1" type="noConversion"/>
  </si>
  <si>
    <t>建筑2加成</t>
    <phoneticPr fontId="1" type="noConversion"/>
  </si>
  <si>
    <t>建筑3加成</t>
    <phoneticPr fontId="1" type="noConversion"/>
  </si>
  <si>
    <t>均以10级计算</t>
    <phoneticPr fontId="1" type="noConversion"/>
  </si>
  <si>
    <t>4小时（每秒最多2点）</t>
    <phoneticPr fontId="1" type="noConversion"/>
  </si>
  <si>
    <t>运动所得</t>
    <phoneticPr fontId="1" type="noConversion"/>
  </si>
  <si>
    <t>2小时（每秒最多3点）</t>
    <phoneticPr fontId="1" type="noConversion"/>
  </si>
  <si>
    <t>只影响默认经验的双倍</t>
    <phoneticPr fontId="1" type="noConversion"/>
  </si>
  <si>
    <t>建筑1</t>
    <phoneticPr fontId="1" type="noConversion"/>
  </si>
  <si>
    <t>建筑2</t>
    <phoneticPr fontId="1" type="noConversion"/>
  </si>
  <si>
    <t>建筑3</t>
    <phoneticPr fontId="1" type="noConversion"/>
  </si>
  <si>
    <t>等级1</t>
    <phoneticPr fontId="1" type="noConversion"/>
  </si>
  <si>
    <t>等级2</t>
    <phoneticPr fontId="1" type="noConversion"/>
  </si>
  <si>
    <t>等级3</t>
    <phoneticPr fontId="1" type="noConversion"/>
  </si>
  <si>
    <t>等级4</t>
    <phoneticPr fontId="1" type="noConversion"/>
  </si>
  <si>
    <t>等级5</t>
    <phoneticPr fontId="1" type="noConversion"/>
  </si>
  <si>
    <t>等级6</t>
    <phoneticPr fontId="1" type="noConversion"/>
  </si>
  <si>
    <t>等级7</t>
    <phoneticPr fontId="1" type="noConversion"/>
  </si>
  <si>
    <t>等级8</t>
    <phoneticPr fontId="1" type="noConversion"/>
  </si>
  <si>
    <t>等级9</t>
    <phoneticPr fontId="1" type="noConversion"/>
  </si>
  <si>
    <t>等级10</t>
    <phoneticPr fontId="1" type="noConversion"/>
  </si>
  <si>
    <t>每天最多领取4小时</t>
    <phoneticPr fontId="1" type="noConversion"/>
  </si>
  <si>
    <t>每天最多领取2小时</t>
    <phoneticPr fontId="1" type="noConversion"/>
  </si>
  <si>
    <t>实际经验/秒（最大值）</t>
    <phoneticPr fontId="1" type="noConversion"/>
  </si>
  <si>
    <t>产出/秒</t>
    <phoneticPr fontId="1" type="noConversion"/>
  </si>
  <si>
    <t>消耗</t>
    <phoneticPr fontId="1" type="noConversion"/>
  </si>
  <si>
    <t>系数</t>
    <phoneticPr fontId="1" type="noConversion"/>
  </si>
  <si>
    <t>消耗钻石</t>
    <phoneticPr fontId="1" type="noConversion"/>
  </si>
  <si>
    <t>1、新用户角色默认提供</t>
    <phoneticPr fontId="1" type="noConversion"/>
  </si>
  <si>
    <t>2、新用户每天登录</t>
    <phoneticPr fontId="1" type="noConversion"/>
  </si>
  <si>
    <t>3、排行榜战斗获取</t>
    <phoneticPr fontId="1" type="noConversion"/>
  </si>
  <si>
    <t>胜利</t>
    <phoneticPr fontId="1" type="noConversion"/>
  </si>
  <si>
    <t>失败</t>
    <phoneticPr fontId="1" type="noConversion"/>
  </si>
  <si>
    <t>经验</t>
    <phoneticPr fontId="1" type="noConversion"/>
  </si>
  <si>
    <t>钻石产出</t>
    <phoneticPr fontId="1" type="noConversion"/>
  </si>
  <si>
    <t>账号免费提供</t>
    <phoneticPr fontId="1" type="noConversion"/>
  </si>
  <si>
    <t>战斗获得（平均5钻/一场，一天60场预估）</t>
    <phoneticPr fontId="1" type="noConversion"/>
  </si>
  <si>
    <t>签到（7天x20）</t>
    <phoneticPr fontId="1" type="noConversion"/>
  </si>
  <si>
    <t>7天合计</t>
    <phoneticPr fontId="1" type="noConversion"/>
  </si>
  <si>
    <t>日平均获得</t>
    <phoneticPr fontId="1" type="noConversion"/>
  </si>
  <si>
    <t>预计升级时间（天）</t>
    <phoneticPr fontId="1" type="noConversion"/>
  </si>
  <si>
    <t>累计所需</t>
    <phoneticPr fontId="1" type="noConversion"/>
  </si>
  <si>
    <t>一次性产出</t>
    <phoneticPr fontId="1" type="noConversion"/>
  </si>
  <si>
    <t>日常产出</t>
    <phoneticPr fontId="1" type="noConversion"/>
  </si>
  <si>
    <t>A级</t>
    <phoneticPr fontId="1" type="noConversion"/>
  </si>
  <si>
    <t>S级</t>
    <phoneticPr fontId="1" type="noConversion"/>
  </si>
  <si>
    <t>SS级</t>
    <phoneticPr fontId="1" type="noConversion"/>
  </si>
  <si>
    <t>合计数据</t>
    <phoneticPr fontId="1" type="noConversion"/>
  </si>
  <si>
    <t>说明</t>
    <phoneticPr fontId="1" type="noConversion"/>
  </si>
  <si>
    <t>1、3个基础数值合计达到总数既可</t>
    <phoneticPr fontId="1" type="noConversion"/>
  </si>
  <si>
    <t>2、基础数值不能为0</t>
    <phoneticPr fontId="1" type="noConversion"/>
  </si>
  <si>
    <t>3、品质成长区别情况下，基础数值增加随机性</t>
    <phoneticPr fontId="1" type="noConversion"/>
  </si>
  <si>
    <t>4、目前基础数值为智力、力量、体力</t>
    <phoneticPr fontId="1" type="noConversion"/>
  </si>
  <si>
    <t>智力</t>
    <phoneticPr fontId="1" type="noConversion"/>
  </si>
  <si>
    <t>体力</t>
    <phoneticPr fontId="1" type="noConversion"/>
  </si>
  <si>
    <t>力量</t>
    <phoneticPr fontId="1" type="noConversion"/>
  </si>
  <si>
    <t>用途</t>
    <phoneticPr fontId="1" type="noConversion"/>
  </si>
  <si>
    <t>基础攻击力</t>
    <phoneticPr fontId="1" type="noConversion"/>
  </si>
  <si>
    <t>暴击率、暴伤、速度</t>
  </si>
  <si>
    <t>HP、防御</t>
  </si>
  <si>
    <r>
      <t>"攻击力"</t>
    </r>
    <r>
      <rPr>
        <sz val="10"/>
        <color rgb="FF383A42"/>
        <rFont val="Consolas"/>
        <family val="3"/>
      </rPr>
      <t>: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str</t>
    </r>
    <r>
      <rPr>
        <sz val="10"/>
        <color rgb="FF0F1115"/>
        <rFont val="Consolas"/>
        <family val="3"/>
      </rPr>
      <t xml:space="preserve"> </t>
    </r>
    <r>
      <rPr>
        <sz val="10"/>
        <color rgb="FF4078F2"/>
        <rFont val="Consolas"/>
        <family val="3"/>
      </rPr>
      <t>*</t>
    </r>
    <r>
      <rPr>
        <sz val="10"/>
        <color rgb="FF0F1115"/>
        <rFont val="Consolas"/>
        <family val="3"/>
      </rPr>
      <t xml:space="preserve"> </t>
    </r>
    <r>
      <rPr>
        <sz val="10"/>
        <color rgb="FFB76B01"/>
        <rFont val="Consolas"/>
        <family val="3"/>
      </rPr>
      <t>2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         </t>
    </r>
    <r>
      <rPr>
        <i/>
        <sz val="10"/>
        <color rgb="FFA0A1A7"/>
        <rFont val="Consolas"/>
        <family val="3"/>
      </rPr>
      <t># 1点力量 = 2点攻击力</t>
    </r>
  </si>
  <si>
    <r>
      <t xml:space="preserve">        </t>
    </r>
    <r>
      <rPr>
        <sz val="10"/>
        <color rgb="FF50A14F"/>
        <rFont val="Consolas"/>
        <family val="3"/>
      </rPr>
      <t>"HP"</t>
    </r>
    <r>
      <rPr>
        <sz val="10"/>
        <color rgb="FF383A42"/>
        <rFont val="Consolas"/>
        <family val="3"/>
      </rPr>
      <t>:</t>
    </r>
    <r>
      <rPr>
        <sz val="10"/>
        <color rgb="FF0F1115"/>
        <rFont val="Consolas"/>
        <family val="3"/>
      </rPr>
      <t xml:space="preserve"> vit </t>
    </r>
    <r>
      <rPr>
        <sz val="10"/>
        <color rgb="FF4078F2"/>
        <rFont val="Consolas"/>
        <family val="3"/>
      </rPr>
      <t>*</t>
    </r>
    <r>
      <rPr>
        <sz val="10"/>
        <color rgb="FF0F1115"/>
        <rFont val="Consolas"/>
        <family val="3"/>
      </rPr>
      <t xml:space="preserve"> </t>
    </r>
    <r>
      <rPr>
        <sz val="10"/>
        <color rgb="FFB76B01"/>
        <rFont val="Consolas"/>
        <family val="3"/>
      </rPr>
      <t>15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           </t>
    </r>
    <r>
      <rPr>
        <i/>
        <sz val="10"/>
        <color rgb="FFA0A1A7"/>
        <rFont val="Consolas"/>
        <family val="3"/>
      </rPr>
      <t># 1点体力 = 15点HP</t>
    </r>
  </si>
  <si>
    <r>
      <t xml:space="preserve">        </t>
    </r>
    <r>
      <rPr>
        <sz val="10"/>
        <color rgb="FF50A14F"/>
        <rFont val="Consolas"/>
        <family val="3"/>
      </rPr>
      <t>"防御力"</t>
    </r>
    <r>
      <rPr>
        <sz val="10"/>
        <color rgb="FF383A42"/>
        <rFont val="Consolas"/>
        <family val="3"/>
      </rPr>
      <t>:</t>
    </r>
    <r>
      <rPr>
        <sz val="10"/>
        <color rgb="FF0F1115"/>
        <rFont val="Consolas"/>
        <family val="3"/>
      </rPr>
      <t xml:space="preserve"> vit </t>
    </r>
    <r>
      <rPr>
        <sz val="10"/>
        <color rgb="FF4078F2"/>
        <rFont val="Consolas"/>
        <family val="3"/>
      </rPr>
      <t>*</t>
    </r>
    <r>
      <rPr>
        <sz val="10"/>
        <color rgb="FF0F1115"/>
        <rFont val="Consolas"/>
        <family val="3"/>
      </rPr>
      <t xml:space="preserve"> </t>
    </r>
    <r>
      <rPr>
        <sz val="10"/>
        <color rgb="FFB76B01"/>
        <rFont val="Consolas"/>
        <family val="3"/>
      </rPr>
      <t>0.5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       </t>
    </r>
    <r>
      <rPr>
        <i/>
        <sz val="10"/>
        <color rgb="FFA0A1A7"/>
        <rFont val="Consolas"/>
        <family val="3"/>
      </rPr>
      <t># 1点体力 = 0.5点防御力</t>
    </r>
  </si>
  <si>
    <r>
      <t xml:space="preserve">        </t>
    </r>
    <r>
      <rPr>
        <sz val="10"/>
        <color rgb="FF50A14F"/>
        <rFont val="Consolas"/>
        <family val="3"/>
      </rPr>
      <t>"暴击率"</t>
    </r>
    <r>
      <rPr>
        <sz val="10"/>
        <color rgb="FF383A42"/>
        <rFont val="Consolas"/>
        <family val="3"/>
      </rPr>
      <t>: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min</t>
    </r>
    <r>
      <rPr>
        <sz val="10"/>
        <color rgb="FF383A42"/>
        <rFont val="Consolas"/>
        <family val="3"/>
      </rPr>
      <t>(</t>
    </r>
    <r>
      <rPr>
        <sz val="10"/>
        <color rgb="FFB76B01"/>
        <rFont val="Consolas"/>
        <family val="3"/>
      </rPr>
      <t>30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int</t>
    </r>
    <r>
      <rPr>
        <sz val="10"/>
        <color rgb="FF0F1115"/>
        <rFont val="Consolas"/>
        <family val="3"/>
      </rPr>
      <t xml:space="preserve"> </t>
    </r>
    <r>
      <rPr>
        <sz val="10"/>
        <color rgb="FF4078F2"/>
        <rFont val="Consolas"/>
        <family val="3"/>
      </rPr>
      <t>*</t>
    </r>
    <r>
      <rPr>
        <sz val="10"/>
        <color rgb="FF0F1115"/>
        <rFont val="Consolas"/>
        <family val="3"/>
      </rPr>
      <t xml:space="preserve"> </t>
    </r>
    <r>
      <rPr>
        <sz val="10"/>
        <color rgb="FFB76B01"/>
        <rFont val="Consolas"/>
        <family val="3"/>
      </rPr>
      <t>0.5</t>
    </r>
    <r>
      <rPr>
        <sz val="10"/>
        <color rgb="FF383A42"/>
        <rFont val="Consolas"/>
        <family val="3"/>
      </rPr>
      <t>),</t>
    </r>
    <r>
      <rPr>
        <sz val="10"/>
        <color rgb="FF0F1115"/>
        <rFont val="Consolas"/>
        <family val="3"/>
      </rPr>
      <t xml:space="preserve">  </t>
    </r>
    <r>
      <rPr>
        <i/>
        <sz val="10"/>
        <color rgb="FFA0A1A7"/>
        <rFont val="Consolas"/>
        <family val="3"/>
      </rPr>
      <t># 1点智力 = 0.5%暴击，上限30%</t>
    </r>
  </si>
  <si>
    <r>
      <t xml:space="preserve">        </t>
    </r>
    <r>
      <rPr>
        <sz val="10"/>
        <color rgb="FF50A14F"/>
        <rFont val="Consolas"/>
        <family val="3"/>
      </rPr>
      <t>"速度"</t>
    </r>
    <r>
      <rPr>
        <sz val="10"/>
        <color rgb="FF383A42"/>
        <rFont val="Consolas"/>
        <family val="3"/>
      </rPr>
      <t>: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int</t>
    </r>
    <r>
      <rPr>
        <sz val="10"/>
        <color rgb="FF0F1115"/>
        <rFont val="Consolas"/>
        <family val="3"/>
      </rPr>
      <t xml:space="preserve"> </t>
    </r>
    <r>
      <rPr>
        <sz val="10"/>
        <color rgb="FF4078F2"/>
        <rFont val="Consolas"/>
        <family val="3"/>
      </rPr>
      <t>*</t>
    </r>
    <r>
      <rPr>
        <sz val="10"/>
        <color rgb="FF0F1115"/>
        <rFont val="Consolas"/>
        <family val="3"/>
      </rPr>
      <t xml:space="preserve"> </t>
    </r>
    <r>
      <rPr>
        <sz val="10"/>
        <color rgb="FFB76B01"/>
        <rFont val="Consolas"/>
        <family val="3"/>
      </rPr>
      <t>0.2</t>
    </r>
    <r>
      <rPr>
        <sz val="10"/>
        <color rgb="FF0F1115"/>
        <rFont val="Consolas"/>
        <family val="3"/>
      </rPr>
      <t xml:space="preserve">           </t>
    </r>
    <r>
      <rPr>
        <i/>
        <sz val="10"/>
        <color rgb="FFA0A1A7"/>
        <rFont val="Consolas"/>
        <family val="3"/>
      </rPr>
      <t># 1点智力 = 0.2点速度</t>
    </r>
  </si>
  <si>
    <r>
      <t xml:space="preserve">伤害值 </t>
    </r>
    <r>
      <rPr>
        <sz val="10"/>
        <color rgb="FF4078F2"/>
        <rFont val="Consolas"/>
        <family val="3"/>
      </rPr>
      <t>=</t>
    </r>
    <r>
      <rPr>
        <sz val="10"/>
        <color rgb="FF0F1115"/>
        <rFont val="Consolas"/>
        <family val="3"/>
      </rPr>
      <t xml:space="preserve"> </t>
    </r>
    <r>
      <rPr>
        <sz val="10"/>
        <color rgb="FF50A14F"/>
        <rFont val="Consolas"/>
        <family val="3"/>
      </rPr>
      <t>max</t>
    </r>
    <r>
      <rPr>
        <sz val="10"/>
        <color rgb="FF383A42"/>
        <rFont val="Consolas"/>
        <family val="3"/>
      </rPr>
      <t>(</t>
    </r>
    <r>
      <rPr>
        <sz val="10"/>
        <color rgb="FFB76B01"/>
        <rFont val="Consolas"/>
        <family val="3"/>
      </rPr>
      <t>1</t>
    </r>
    <r>
      <rPr>
        <sz val="10"/>
        <color rgb="FF383A42"/>
        <rFont val="Consolas"/>
        <family val="3"/>
      </rPr>
      <t>,</t>
    </r>
    <r>
      <rPr>
        <sz val="10"/>
        <color rgb="FF0F1115"/>
        <rFont val="Consolas"/>
        <family val="3"/>
      </rPr>
      <t xml:space="preserve"> </t>
    </r>
    <r>
      <rPr>
        <sz val="10"/>
        <color rgb="FF383A42"/>
        <rFont val="Consolas"/>
        <family val="3"/>
      </rPr>
      <t>(</t>
    </r>
    <r>
      <rPr>
        <sz val="10"/>
        <color rgb="FF0F1115"/>
        <rFont val="Consolas"/>
        <family val="3"/>
      </rPr>
      <t xml:space="preserve">攻击力 </t>
    </r>
    <r>
      <rPr>
        <sz val="10"/>
        <color rgb="FF4078F2"/>
        <rFont val="Consolas"/>
        <family val="3"/>
      </rPr>
      <t>-</t>
    </r>
    <r>
      <rPr>
        <sz val="10"/>
        <color rgb="FF0F1115"/>
        <rFont val="Consolas"/>
        <family val="3"/>
      </rPr>
      <t xml:space="preserve"> 防御力</t>
    </r>
    <r>
      <rPr>
        <sz val="10"/>
        <color rgb="FF383A42"/>
        <rFont val="Consolas"/>
        <family val="3"/>
      </rPr>
      <t>))</t>
    </r>
    <r>
      <rPr>
        <sz val="10"/>
        <color rgb="FF0F1115"/>
        <rFont val="Consolas"/>
        <family val="3"/>
      </rPr>
      <t xml:space="preserve"> × </t>
    </r>
    <r>
      <rPr>
        <sz val="10"/>
        <color rgb="FF383A42"/>
        <rFont val="Consolas"/>
        <family val="3"/>
      </rPr>
      <t>(</t>
    </r>
    <r>
      <rPr>
        <sz val="10"/>
        <color rgb="FFB76B01"/>
        <rFont val="Consolas"/>
        <family val="3"/>
      </rPr>
      <t>1.5</t>
    </r>
    <r>
      <rPr>
        <sz val="10"/>
        <color rgb="FF0F1115"/>
        <rFont val="Consolas"/>
        <family val="3"/>
      </rPr>
      <t xml:space="preserve"> </t>
    </r>
    <r>
      <rPr>
        <sz val="10"/>
        <color rgb="FFA626A4"/>
        <rFont val="Consolas"/>
        <family val="3"/>
      </rPr>
      <t>if</t>
    </r>
    <r>
      <rPr>
        <sz val="10"/>
        <color rgb="FF0F1115"/>
        <rFont val="Consolas"/>
        <family val="3"/>
      </rPr>
      <t xml:space="preserve"> 暴击 </t>
    </r>
    <r>
      <rPr>
        <sz val="10"/>
        <color rgb="FFA626A4"/>
        <rFont val="Consolas"/>
        <family val="3"/>
      </rPr>
      <t>else</t>
    </r>
    <r>
      <rPr>
        <sz val="10"/>
        <color rgb="FF0F1115"/>
        <rFont val="Consolas"/>
        <family val="3"/>
      </rPr>
      <t xml:space="preserve"> </t>
    </r>
    <r>
      <rPr>
        <sz val="10"/>
        <color rgb="FFB76B01"/>
        <rFont val="Consolas"/>
        <family val="3"/>
      </rPr>
      <t>1</t>
    </r>
    <r>
      <rPr>
        <sz val="10"/>
        <color rgb="FF383A42"/>
        <rFont val="Consolas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</si>
</sst>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F1115"/>
      <name val="Segoe UI"/>
      <family val="2"/>
    </font>
    <font>
      <sz val="10"/>
      <color rgb="FF0F1115"/>
      <name val="Consolas"/>
      <family val="3"/>
    </font>
    <font>
      <i/>
      <sz val="10"/>
      <color rgb="FFA0A1A7"/>
      <name val="Consolas"/>
      <family val="3"/>
    </font>
    <font>
      <sz val="10"/>
      <color rgb="FF50A14F"/>
      <name val="Consolas"/>
      <family val="3"/>
    </font>
    <font>
      <sz val="10"/>
      <color rgb="FF383A42"/>
      <name val="Consolas"/>
      <family val="3"/>
    </font>
    <font>
      <sz val="10"/>
      <color rgb="FF4078F2"/>
      <name val="Consolas"/>
      <family val="3"/>
    </font>
    <font>
      <sz val="10"/>
      <color rgb="FFB76B01"/>
      <name val="Consolas"/>
      <family val="3"/>
    </font>
    <font>
      <sz val="10"/>
      <color rgb="FFA626A4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2" borderId="0" xfId="0" applyFill="1"/>
    <xf numFmtId="176" fontId="0" fillId="3" borderId="0" xfId="0" applyNumberFormat="1" applyFill="1"/>
    <xf numFmtId="0" fontId="0" fillId="3" borderId="0" xfId="0" applyFill="1"/>
    <xf numFmtId="177" fontId="0" fillId="3" borderId="0" xfId="0" applyNumberFormat="1" applyFill="1"/>
    <xf numFmtId="0" fontId="2" fillId="0" borderId="0" xfId="0" applyFont="1"/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103"/>
  <sheetViews>
    <sheetView tabSelected="1" workbookViewId="0">
      <pane xSplit="1" ySplit="4" topLeftCell="B56" activePane="bottomRight" state="frozen"/>
      <selection pane="topRight" activeCell="C1" sqref="C1"/>
      <selection pane="bottomLeft" activeCell="A5" sqref="A5"/>
      <selection pane="bottomRight" activeCell="L30" sqref="L30"/>
    </sheetView>
  </sheetViews>
  <sheetFormatPr baseColWidth="10" defaultColWidth="8.83203125" defaultRowHeight="15"/>
  <cols>
    <col min="2" max="3" width="11.83203125" customWidth="1"/>
    <col min="4" max="4" width="13.1640625" style="1" customWidth="1"/>
    <col min="5" max="5" width="13.1640625" customWidth="1"/>
    <col min="8" max="8" width="13.5" style="1" customWidth="1"/>
    <col min="9" max="10" width="12.83203125" customWidth="1"/>
  </cols>
  <sheetData>
    <row r="4" spans="2:10">
      <c r="B4" t="s">
        <v>0</v>
      </c>
      <c r="C4" t="s">
        <v>2</v>
      </c>
      <c r="D4" s="1" t="s">
        <v>1</v>
      </c>
      <c r="E4" t="s">
        <v>5</v>
      </c>
      <c r="F4" t="s">
        <v>3</v>
      </c>
      <c r="H4" s="1" t="s">
        <v>4</v>
      </c>
      <c r="I4" s="1" t="s">
        <v>6</v>
      </c>
      <c r="J4" s="1" t="s">
        <v>7</v>
      </c>
    </row>
    <row r="5" spans="2:10">
      <c r="B5">
        <v>1</v>
      </c>
      <c r="C5">
        <v>0</v>
      </c>
      <c r="D5" s="1">
        <v>15</v>
      </c>
      <c r="E5">
        <v>0</v>
      </c>
      <c r="F5">
        <v>1</v>
      </c>
      <c r="H5" s="1">
        <f>SUM(D5/F5)/60</f>
        <v>0.25</v>
      </c>
      <c r="I5" s="2"/>
      <c r="J5" s="2"/>
    </row>
    <row r="6" spans="2:10">
      <c r="B6">
        <v>2</v>
      </c>
      <c r="C6">
        <v>0</v>
      </c>
      <c r="D6" s="1">
        <f>SUM(D5*E6)</f>
        <v>30</v>
      </c>
      <c r="E6">
        <v>2</v>
      </c>
      <c r="F6">
        <v>1</v>
      </c>
      <c r="H6" s="1">
        <f t="shared" ref="H6:H69" si="0">SUM(D6/F6)/60</f>
        <v>0.5</v>
      </c>
      <c r="I6" s="2"/>
      <c r="J6" s="2"/>
    </row>
    <row r="7" spans="2:10">
      <c r="B7">
        <v>3</v>
      </c>
      <c r="C7">
        <v>0</v>
      </c>
      <c r="D7" s="1">
        <v>100</v>
      </c>
      <c r="E7" s="2">
        <f>SUM(D7/D6)</f>
        <v>3.3333333333333335</v>
      </c>
      <c r="F7">
        <v>1</v>
      </c>
      <c r="H7" s="1">
        <f t="shared" si="0"/>
        <v>1.6666666666666667</v>
      </c>
      <c r="I7" s="2"/>
      <c r="J7" s="2"/>
    </row>
    <row r="8" spans="2:10">
      <c r="B8">
        <v>4</v>
      </c>
      <c r="C8">
        <v>0</v>
      </c>
      <c r="D8" s="1">
        <f t="shared" ref="D8:D70" si="1">SUM(D7*E8)</f>
        <v>200</v>
      </c>
      <c r="E8">
        <v>2</v>
      </c>
      <c r="F8">
        <v>1</v>
      </c>
      <c r="H8" s="1">
        <f t="shared" si="0"/>
        <v>3.3333333333333335</v>
      </c>
      <c r="I8" s="2"/>
      <c r="J8" s="2"/>
    </row>
    <row r="9" spans="2:10">
      <c r="B9">
        <v>5</v>
      </c>
      <c r="C9">
        <v>0</v>
      </c>
      <c r="D9" s="1">
        <f t="shared" si="1"/>
        <v>400</v>
      </c>
      <c r="E9">
        <v>2</v>
      </c>
      <c r="F9">
        <v>1</v>
      </c>
      <c r="H9" s="1">
        <f t="shared" si="0"/>
        <v>6.666666666666667</v>
      </c>
      <c r="I9" s="2"/>
      <c r="J9" s="2"/>
    </row>
    <row r="10" spans="2:10">
      <c r="B10">
        <v>6</v>
      </c>
      <c r="C10">
        <v>0</v>
      </c>
      <c r="D10" s="1">
        <f t="shared" si="1"/>
        <v>800</v>
      </c>
      <c r="E10">
        <v>2</v>
      </c>
      <c r="F10">
        <v>1</v>
      </c>
      <c r="H10" s="1">
        <f t="shared" si="0"/>
        <v>13.333333333333334</v>
      </c>
      <c r="I10" s="2"/>
      <c r="J10" s="2"/>
    </row>
    <row r="11" spans="2:10">
      <c r="B11">
        <v>7</v>
      </c>
      <c r="C11">
        <v>0</v>
      </c>
      <c r="D11" s="1">
        <v>1200</v>
      </c>
      <c r="E11" s="2">
        <f>SUM(D11/D10)</f>
        <v>1.5</v>
      </c>
      <c r="F11">
        <v>1</v>
      </c>
      <c r="H11" s="1">
        <f t="shared" si="0"/>
        <v>20</v>
      </c>
      <c r="I11" s="2"/>
      <c r="J11" s="2"/>
    </row>
    <row r="12" spans="2:10">
      <c r="B12">
        <v>8</v>
      </c>
      <c r="C12">
        <v>0</v>
      </c>
      <c r="D12" s="1">
        <v>1500</v>
      </c>
      <c r="E12" s="2">
        <f>SUM(D12/D11)</f>
        <v>1.25</v>
      </c>
      <c r="F12">
        <v>1</v>
      </c>
      <c r="H12" s="1">
        <f t="shared" si="0"/>
        <v>25</v>
      </c>
      <c r="I12" s="2"/>
      <c r="J12" s="2"/>
    </row>
    <row r="13" spans="2:10">
      <c r="B13">
        <v>9</v>
      </c>
      <c r="C13">
        <v>0</v>
      </c>
      <c r="D13" s="1">
        <v>2000</v>
      </c>
      <c r="E13" s="2">
        <f>SUM(D13/D12)</f>
        <v>1.3333333333333333</v>
      </c>
      <c r="F13">
        <v>1</v>
      </c>
      <c r="H13" s="1">
        <f t="shared" si="0"/>
        <v>33.333333333333336</v>
      </c>
      <c r="I13" s="2"/>
      <c r="J13" s="2"/>
    </row>
    <row r="14" spans="2:10">
      <c r="B14">
        <v>10</v>
      </c>
      <c r="C14">
        <v>0</v>
      </c>
      <c r="D14" s="1">
        <f>SUM(D13*E14)</f>
        <v>3000</v>
      </c>
      <c r="E14">
        <v>1.5</v>
      </c>
      <c r="F14">
        <v>1</v>
      </c>
      <c r="H14" s="1">
        <f t="shared" si="0"/>
        <v>50</v>
      </c>
      <c r="I14" s="2">
        <f>SUM(H14/60)</f>
        <v>0.83333333333333337</v>
      </c>
      <c r="J14" s="2">
        <f>SUM(I14/24)</f>
        <v>3.4722222222222224E-2</v>
      </c>
    </row>
    <row r="15" spans="2:10">
      <c r="B15">
        <v>11</v>
      </c>
      <c r="C15">
        <v>0</v>
      </c>
      <c r="D15" s="1">
        <f t="shared" si="1"/>
        <v>3600</v>
      </c>
      <c r="E15">
        <v>1.2</v>
      </c>
      <c r="F15">
        <v>1</v>
      </c>
      <c r="H15" s="1">
        <f t="shared" si="0"/>
        <v>60</v>
      </c>
      <c r="I15" s="2"/>
      <c r="J15" s="2"/>
    </row>
    <row r="16" spans="2:10">
      <c r="B16">
        <v>12</v>
      </c>
      <c r="C16">
        <v>0</v>
      </c>
      <c r="D16" s="1">
        <f t="shared" si="1"/>
        <v>4320</v>
      </c>
      <c r="E16">
        <v>1.2</v>
      </c>
      <c r="F16">
        <v>1</v>
      </c>
      <c r="H16" s="1">
        <f t="shared" si="0"/>
        <v>72</v>
      </c>
      <c r="I16" s="2"/>
      <c r="J16" s="2"/>
    </row>
    <row r="17" spans="2:10">
      <c r="B17">
        <v>13</v>
      </c>
      <c r="C17">
        <v>0</v>
      </c>
      <c r="D17" s="1">
        <f t="shared" si="1"/>
        <v>5184</v>
      </c>
      <c r="E17">
        <v>1.2</v>
      </c>
      <c r="F17">
        <v>1</v>
      </c>
      <c r="H17" s="1">
        <f t="shared" si="0"/>
        <v>86.4</v>
      </c>
      <c r="I17" s="2"/>
      <c r="J17" s="2"/>
    </row>
    <row r="18" spans="2:10">
      <c r="B18">
        <v>14</v>
      </c>
      <c r="C18">
        <v>0</v>
      </c>
      <c r="D18" s="1">
        <f t="shared" si="1"/>
        <v>6220.8</v>
      </c>
      <c r="E18">
        <v>1.2</v>
      </c>
      <c r="F18">
        <v>1</v>
      </c>
      <c r="H18" s="1">
        <f t="shared" si="0"/>
        <v>103.68</v>
      </c>
      <c r="I18" s="2"/>
      <c r="J18" s="2"/>
    </row>
    <row r="19" spans="2:10">
      <c r="B19">
        <f>SUM(B18+1)</f>
        <v>15</v>
      </c>
      <c r="C19">
        <v>0</v>
      </c>
      <c r="D19" s="1">
        <f t="shared" si="1"/>
        <v>7464.96</v>
      </c>
      <c r="E19">
        <v>1.2</v>
      </c>
      <c r="F19">
        <v>1</v>
      </c>
      <c r="H19" s="1">
        <f t="shared" si="0"/>
        <v>124.416</v>
      </c>
      <c r="I19" s="2"/>
      <c r="J19" s="2"/>
    </row>
    <row r="20" spans="2:10">
      <c r="B20">
        <f t="shared" ref="B20:B83" si="2">SUM(B19+1)</f>
        <v>16</v>
      </c>
      <c r="C20">
        <v>0</v>
      </c>
      <c r="D20" s="1">
        <f t="shared" si="1"/>
        <v>8957.9519999999993</v>
      </c>
      <c r="E20">
        <v>1.2</v>
      </c>
      <c r="F20">
        <v>1</v>
      </c>
      <c r="H20" s="1">
        <f t="shared" si="0"/>
        <v>149.29919999999998</v>
      </c>
      <c r="I20" s="2"/>
      <c r="J20" s="2"/>
    </row>
    <row r="21" spans="2:10">
      <c r="B21">
        <f t="shared" si="2"/>
        <v>17</v>
      </c>
      <c r="C21">
        <v>0</v>
      </c>
      <c r="D21" s="1">
        <f t="shared" si="1"/>
        <v>10749.542399999998</v>
      </c>
      <c r="E21">
        <v>1.2</v>
      </c>
      <c r="F21">
        <v>1</v>
      </c>
      <c r="H21" s="1">
        <f t="shared" si="0"/>
        <v>179.15903999999998</v>
      </c>
      <c r="I21" s="2"/>
      <c r="J21" s="2"/>
    </row>
    <row r="22" spans="2:10">
      <c r="B22">
        <f t="shared" si="2"/>
        <v>18</v>
      </c>
      <c r="C22">
        <v>0</v>
      </c>
      <c r="D22" s="1">
        <f t="shared" si="1"/>
        <v>12899.450879999999</v>
      </c>
      <c r="E22">
        <v>1.2</v>
      </c>
      <c r="F22">
        <v>1</v>
      </c>
      <c r="H22" s="1">
        <f t="shared" si="0"/>
        <v>214.99084799999997</v>
      </c>
      <c r="I22" s="2"/>
      <c r="J22" s="2"/>
    </row>
    <row r="23" spans="2:10">
      <c r="B23">
        <f t="shared" si="2"/>
        <v>19</v>
      </c>
      <c r="C23">
        <v>0</v>
      </c>
      <c r="D23" s="1">
        <f t="shared" si="1"/>
        <v>15479.341055999997</v>
      </c>
      <c r="E23">
        <v>1.2</v>
      </c>
      <c r="F23">
        <v>1</v>
      </c>
      <c r="H23" s="1">
        <f t="shared" si="0"/>
        <v>257.98901759999995</v>
      </c>
      <c r="I23" s="2"/>
      <c r="J23" s="2"/>
    </row>
    <row r="24" spans="2:10">
      <c r="B24">
        <f t="shared" si="2"/>
        <v>20</v>
      </c>
      <c r="C24">
        <v>0</v>
      </c>
      <c r="D24" s="1">
        <f t="shared" si="1"/>
        <v>18575.209267199996</v>
      </c>
      <c r="E24">
        <v>1.2</v>
      </c>
      <c r="F24">
        <v>1</v>
      </c>
      <c r="H24" s="1">
        <f t="shared" si="0"/>
        <v>309.58682111999991</v>
      </c>
      <c r="I24" s="2">
        <f>SUM(H24/60)</f>
        <v>5.1597803519999985</v>
      </c>
      <c r="J24" s="2">
        <f>SUM(I24/24)</f>
        <v>0.21499084799999993</v>
      </c>
    </row>
    <row r="25" spans="2:10">
      <c r="B25">
        <f t="shared" si="2"/>
        <v>21</v>
      </c>
      <c r="C25">
        <v>0</v>
      </c>
      <c r="D25" s="1">
        <f t="shared" si="1"/>
        <v>22290.251120639994</v>
      </c>
      <c r="E25">
        <v>1.2</v>
      </c>
      <c r="F25">
        <v>1</v>
      </c>
      <c r="H25" s="1">
        <f t="shared" si="0"/>
        <v>371.50418534399989</v>
      </c>
      <c r="I25" s="2"/>
      <c r="J25" s="2"/>
    </row>
    <row r="26" spans="2:10">
      <c r="B26">
        <f t="shared" si="2"/>
        <v>22</v>
      </c>
      <c r="C26">
        <v>0</v>
      </c>
      <c r="D26" s="1">
        <f t="shared" si="1"/>
        <v>26748.301344767991</v>
      </c>
      <c r="E26">
        <v>1.2</v>
      </c>
      <c r="F26">
        <v>1</v>
      </c>
      <c r="H26" s="1">
        <f t="shared" si="0"/>
        <v>445.80502241279987</v>
      </c>
      <c r="I26" s="2"/>
      <c r="J26" s="2"/>
    </row>
    <row r="27" spans="2:10">
      <c r="B27">
        <f t="shared" si="2"/>
        <v>23</v>
      </c>
      <c r="C27">
        <v>0</v>
      </c>
      <c r="D27" s="1">
        <f t="shared" si="1"/>
        <v>32097.961613721589</v>
      </c>
      <c r="E27">
        <v>1.2</v>
      </c>
      <c r="F27">
        <v>1</v>
      </c>
      <c r="H27" s="1">
        <f t="shared" si="0"/>
        <v>534.96602689535985</v>
      </c>
      <c r="I27" s="2"/>
      <c r="J27" s="2"/>
    </row>
    <row r="28" spans="2:10">
      <c r="B28">
        <f t="shared" si="2"/>
        <v>24</v>
      </c>
      <c r="C28">
        <v>0</v>
      </c>
      <c r="D28" s="1">
        <f t="shared" si="1"/>
        <v>38517.553936465905</v>
      </c>
      <c r="E28">
        <v>1.2</v>
      </c>
      <c r="F28">
        <v>1</v>
      </c>
      <c r="H28" s="1">
        <f t="shared" si="0"/>
        <v>641.95923227443177</v>
      </c>
      <c r="I28" s="2"/>
      <c r="J28" s="2"/>
    </row>
    <row r="29" spans="2:10">
      <c r="B29">
        <f t="shared" si="2"/>
        <v>25</v>
      </c>
      <c r="C29">
        <v>0</v>
      </c>
      <c r="D29" s="1">
        <f t="shared" si="1"/>
        <v>46221.064723759082</v>
      </c>
      <c r="E29">
        <v>1.2</v>
      </c>
      <c r="F29">
        <v>1</v>
      </c>
      <c r="H29" s="1">
        <f t="shared" si="0"/>
        <v>770.35107872931803</v>
      </c>
      <c r="I29" s="2"/>
      <c r="J29" s="2"/>
    </row>
    <row r="30" spans="2:10">
      <c r="B30">
        <f t="shared" si="2"/>
        <v>26</v>
      </c>
      <c r="C30">
        <v>0</v>
      </c>
      <c r="D30" s="1">
        <f t="shared" si="1"/>
        <v>55465.277668510898</v>
      </c>
      <c r="E30">
        <v>1.2</v>
      </c>
      <c r="F30">
        <v>1</v>
      </c>
      <c r="H30" s="1">
        <f t="shared" si="0"/>
        <v>924.42129447518164</v>
      </c>
      <c r="I30" s="2"/>
      <c r="J30" s="2"/>
    </row>
    <row r="31" spans="2:10">
      <c r="B31">
        <f t="shared" si="2"/>
        <v>27</v>
      </c>
      <c r="C31">
        <v>0</v>
      </c>
      <c r="D31" s="1">
        <f t="shared" si="1"/>
        <v>66558.333202213078</v>
      </c>
      <c r="E31">
        <v>1.2</v>
      </c>
      <c r="F31">
        <v>1</v>
      </c>
      <c r="H31" s="1">
        <f t="shared" si="0"/>
        <v>1109.3055533702179</v>
      </c>
      <c r="I31" s="2"/>
      <c r="J31" s="2"/>
    </row>
    <row r="32" spans="2:10">
      <c r="B32">
        <f t="shared" si="2"/>
        <v>28</v>
      </c>
      <c r="C32">
        <v>0</v>
      </c>
      <c r="D32" s="1">
        <f t="shared" si="1"/>
        <v>79869.999842655685</v>
      </c>
      <c r="E32">
        <v>1.2</v>
      </c>
      <c r="F32">
        <v>1</v>
      </c>
      <c r="H32" s="1">
        <f t="shared" si="0"/>
        <v>1331.1666640442613</v>
      </c>
      <c r="I32" s="2"/>
      <c r="J32" s="2"/>
    </row>
    <row r="33" spans="2:10">
      <c r="B33">
        <f t="shared" si="2"/>
        <v>29</v>
      </c>
      <c r="C33">
        <v>0</v>
      </c>
      <c r="D33" s="1">
        <f t="shared" si="1"/>
        <v>95843.999811186819</v>
      </c>
      <c r="E33">
        <v>1.2</v>
      </c>
      <c r="F33">
        <v>1</v>
      </c>
      <c r="H33" s="1">
        <f t="shared" si="0"/>
        <v>1597.3999968531136</v>
      </c>
      <c r="I33" s="2"/>
      <c r="J33" s="2"/>
    </row>
    <row r="34" spans="2:10">
      <c r="B34">
        <f t="shared" si="2"/>
        <v>30</v>
      </c>
      <c r="C34">
        <v>0</v>
      </c>
      <c r="D34" s="1">
        <f t="shared" si="1"/>
        <v>115012.79977342418</v>
      </c>
      <c r="E34">
        <v>1.2</v>
      </c>
      <c r="F34">
        <v>1</v>
      </c>
      <c r="H34" s="1">
        <f t="shared" si="0"/>
        <v>1916.8799962237363</v>
      </c>
      <c r="I34" s="2">
        <f>SUM(H34/60)</f>
        <v>31.947999937062271</v>
      </c>
      <c r="J34" s="2">
        <f>SUM(I34/24)</f>
        <v>1.3311666640442612</v>
      </c>
    </row>
    <row r="35" spans="2:10">
      <c r="B35">
        <f t="shared" si="2"/>
        <v>31</v>
      </c>
      <c r="C35">
        <v>0</v>
      </c>
      <c r="D35" s="1">
        <f t="shared" si="1"/>
        <v>138015.359728109</v>
      </c>
      <c r="E35">
        <v>1.2</v>
      </c>
      <c r="F35">
        <v>1</v>
      </c>
      <c r="H35" s="1">
        <f t="shared" si="0"/>
        <v>2300.2559954684834</v>
      </c>
      <c r="I35" s="2"/>
      <c r="J35" s="2"/>
    </row>
    <row r="36" spans="2:10">
      <c r="B36">
        <f t="shared" si="2"/>
        <v>32</v>
      </c>
      <c r="C36">
        <v>0</v>
      </c>
      <c r="D36" s="1">
        <f t="shared" si="1"/>
        <v>165618.43167373081</v>
      </c>
      <c r="E36">
        <v>1.2</v>
      </c>
      <c r="F36">
        <v>1</v>
      </c>
      <c r="H36" s="1">
        <f t="shared" si="0"/>
        <v>2760.30719456218</v>
      </c>
      <c r="I36" s="2"/>
      <c r="J36" s="2"/>
    </row>
    <row r="37" spans="2:10">
      <c r="B37">
        <f t="shared" si="2"/>
        <v>33</v>
      </c>
      <c r="C37">
        <v>0</v>
      </c>
      <c r="D37" s="1">
        <f t="shared" si="1"/>
        <v>198742.11800847697</v>
      </c>
      <c r="E37">
        <v>1.2</v>
      </c>
      <c r="F37">
        <v>1</v>
      </c>
      <c r="H37" s="1">
        <f t="shared" si="0"/>
        <v>3312.3686334746162</v>
      </c>
      <c r="I37" s="2"/>
      <c r="J37" s="2"/>
    </row>
    <row r="38" spans="2:10">
      <c r="B38">
        <f t="shared" si="2"/>
        <v>34</v>
      </c>
      <c r="C38">
        <v>0</v>
      </c>
      <c r="D38" s="1">
        <f t="shared" si="1"/>
        <v>238490.54161017237</v>
      </c>
      <c r="E38">
        <v>1.2</v>
      </c>
      <c r="F38">
        <v>1</v>
      </c>
      <c r="H38" s="1">
        <f t="shared" si="0"/>
        <v>3974.8423601695395</v>
      </c>
      <c r="I38" s="2"/>
      <c r="J38" s="2"/>
    </row>
    <row r="39" spans="2:10">
      <c r="B39">
        <f t="shared" si="2"/>
        <v>35</v>
      </c>
      <c r="C39">
        <v>0</v>
      </c>
      <c r="D39" s="1">
        <f t="shared" si="1"/>
        <v>286188.64993220684</v>
      </c>
      <c r="E39">
        <v>1.2</v>
      </c>
      <c r="F39">
        <v>1</v>
      </c>
      <c r="H39" s="1">
        <f t="shared" si="0"/>
        <v>4769.8108322034477</v>
      </c>
      <c r="I39" s="2"/>
      <c r="J39" s="2"/>
    </row>
    <row r="40" spans="2:10">
      <c r="B40">
        <f t="shared" si="2"/>
        <v>36</v>
      </c>
      <c r="C40">
        <v>0</v>
      </c>
      <c r="D40" s="1">
        <f t="shared" si="1"/>
        <v>343426.37991864822</v>
      </c>
      <c r="E40">
        <v>1.2</v>
      </c>
      <c r="F40">
        <v>1</v>
      </c>
      <c r="H40" s="1">
        <f t="shared" si="0"/>
        <v>5723.7729986441373</v>
      </c>
      <c r="I40" s="2"/>
      <c r="J40" s="2"/>
    </row>
    <row r="41" spans="2:10">
      <c r="B41">
        <f t="shared" si="2"/>
        <v>37</v>
      </c>
      <c r="C41">
        <v>0</v>
      </c>
      <c r="D41" s="1">
        <f t="shared" si="1"/>
        <v>412111.65590237785</v>
      </c>
      <c r="E41">
        <v>1.2</v>
      </c>
      <c r="F41">
        <v>1</v>
      </c>
      <c r="H41" s="1">
        <f t="shared" si="0"/>
        <v>6868.5275983729643</v>
      </c>
      <c r="I41" s="2"/>
      <c r="J41" s="2"/>
    </row>
    <row r="42" spans="2:10">
      <c r="B42">
        <f t="shared" si="2"/>
        <v>38</v>
      </c>
      <c r="C42">
        <v>0</v>
      </c>
      <c r="D42" s="1">
        <f t="shared" si="1"/>
        <v>494533.98708285339</v>
      </c>
      <c r="E42">
        <v>1.2</v>
      </c>
      <c r="F42">
        <v>1</v>
      </c>
      <c r="H42" s="1">
        <f t="shared" si="0"/>
        <v>8242.2331180475558</v>
      </c>
      <c r="I42" s="2"/>
      <c r="J42" s="2"/>
    </row>
    <row r="43" spans="2:10">
      <c r="B43">
        <f t="shared" si="2"/>
        <v>39</v>
      </c>
      <c r="C43">
        <v>0</v>
      </c>
      <c r="D43" s="1">
        <f t="shared" si="1"/>
        <v>593440.78449942404</v>
      </c>
      <c r="E43">
        <v>1.2</v>
      </c>
      <c r="F43">
        <v>1</v>
      </c>
      <c r="H43" s="1">
        <f t="shared" si="0"/>
        <v>9890.679741657068</v>
      </c>
      <c r="I43" s="2"/>
      <c r="J43" s="2"/>
    </row>
    <row r="44" spans="2:10">
      <c r="B44">
        <f t="shared" si="2"/>
        <v>40</v>
      </c>
      <c r="C44">
        <v>0</v>
      </c>
      <c r="D44" s="1">
        <f t="shared" si="1"/>
        <v>712128.94139930885</v>
      </c>
      <c r="E44">
        <v>1.2</v>
      </c>
      <c r="F44">
        <v>1</v>
      </c>
      <c r="H44" s="1">
        <f t="shared" si="0"/>
        <v>11868.815689988482</v>
      </c>
      <c r="I44" s="2">
        <f>SUM(H44/60)</f>
        <v>197.81359483314137</v>
      </c>
      <c r="J44" s="2">
        <f>SUM(I44/24)</f>
        <v>8.2422331180475563</v>
      </c>
    </row>
    <row r="45" spans="2:10">
      <c r="B45">
        <f t="shared" si="2"/>
        <v>41</v>
      </c>
      <c r="C45">
        <v>0</v>
      </c>
      <c r="D45" s="1">
        <f t="shared" si="1"/>
        <v>783341.83553923981</v>
      </c>
      <c r="E45">
        <v>1.1000000000000001</v>
      </c>
      <c r="F45">
        <v>1</v>
      </c>
      <c r="H45" s="1">
        <f t="shared" si="0"/>
        <v>13055.697258987329</v>
      </c>
      <c r="I45" s="2"/>
      <c r="J45" s="2"/>
    </row>
    <row r="46" spans="2:10">
      <c r="B46">
        <f t="shared" si="2"/>
        <v>42</v>
      </c>
      <c r="C46">
        <v>0</v>
      </c>
      <c r="D46" s="1">
        <f t="shared" si="1"/>
        <v>861676.01909316389</v>
      </c>
      <c r="E46">
        <v>1.1000000000000001</v>
      </c>
      <c r="F46">
        <v>1</v>
      </c>
      <c r="H46" s="1">
        <f t="shared" si="0"/>
        <v>14361.266984886064</v>
      </c>
      <c r="I46" s="2"/>
      <c r="J46" s="2"/>
    </row>
    <row r="47" spans="2:10">
      <c r="B47">
        <f t="shared" si="2"/>
        <v>43</v>
      </c>
      <c r="C47">
        <v>0</v>
      </c>
      <c r="D47" s="1">
        <f t="shared" si="1"/>
        <v>947843.62100248039</v>
      </c>
      <c r="E47">
        <v>1.1000000000000001</v>
      </c>
      <c r="F47">
        <v>1</v>
      </c>
      <c r="H47" s="1">
        <f t="shared" si="0"/>
        <v>15797.393683374674</v>
      </c>
      <c r="I47" s="2"/>
      <c r="J47" s="2"/>
    </row>
    <row r="48" spans="2:10">
      <c r="B48">
        <f t="shared" si="2"/>
        <v>44</v>
      </c>
      <c r="C48">
        <v>0</v>
      </c>
      <c r="D48" s="1">
        <f t="shared" si="1"/>
        <v>1042627.9831027285</v>
      </c>
      <c r="E48">
        <v>1.1000000000000001</v>
      </c>
      <c r="F48">
        <v>1</v>
      </c>
      <c r="H48" s="1">
        <f t="shared" si="0"/>
        <v>17377.133051712142</v>
      </c>
      <c r="I48" s="2"/>
      <c r="J48" s="2"/>
    </row>
    <row r="49" spans="2:10">
      <c r="B49">
        <f t="shared" si="2"/>
        <v>45</v>
      </c>
      <c r="C49">
        <v>0</v>
      </c>
      <c r="D49" s="1">
        <f t="shared" si="1"/>
        <v>1146890.7814130015</v>
      </c>
      <c r="E49">
        <v>1.1000000000000001</v>
      </c>
      <c r="F49">
        <v>1</v>
      </c>
      <c r="H49" s="1">
        <f t="shared" si="0"/>
        <v>19114.846356883358</v>
      </c>
      <c r="I49" s="2"/>
      <c r="J49" s="2"/>
    </row>
    <row r="50" spans="2:10">
      <c r="B50">
        <f t="shared" si="2"/>
        <v>46</v>
      </c>
      <c r="C50">
        <v>0</v>
      </c>
      <c r="D50" s="1">
        <f t="shared" si="1"/>
        <v>1261579.8595543017</v>
      </c>
      <c r="E50">
        <v>1.1000000000000001</v>
      </c>
      <c r="F50">
        <v>1</v>
      </c>
      <c r="H50" s="1">
        <f t="shared" si="0"/>
        <v>21026.330992571697</v>
      </c>
      <c r="I50" s="2"/>
      <c r="J50" s="2"/>
    </row>
    <row r="51" spans="2:10">
      <c r="B51">
        <f t="shared" si="2"/>
        <v>47</v>
      </c>
      <c r="C51">
        <v>0</v>
      </c>
      <c r="D51" s="1">
        <f t="shared" si="1"/>
        <v>1387737.8455097319</v>
      </c>
      <c r="E51">
        <v>1.1000000000000001</v>
      </c>
      <c r="F51">
        <v>1</v>
      </c>
      <c r="H51" s="1">
        <f t="shared" si="0"/>
        <v>23128.964091828864</v>
      </c>
      <c r="I51" s="2"/>
      <c r="J51" s="2"/>
    </row>
    <row r="52" spans="2:10">
      <c r="B52">
        <f t="shared" si="2"/>
        <v>48</v>
      </c>
      <c r="C52">
        <v>0</v>
      </c>
      <c r="D52" s="1">
        <f t="shared" si="1"/>
        <v>1526511.6300607051</v>
      </c>
      <c r="E52">
        <v>1.1000000000000001</v>
      </c>
      <c r="F52">
        <v>1</v>
      </c>
      <c r="H52" s="1">
        <f t="shared" si="0"/>
        <v>25441.860501011754</v>
      </c>
      <c r="I52" s="2"/>
      <c r="J52" s="2"/>
    </row>
    <row r="53" spans="2:10">
      <c r="B53">
        <f t="shared" si="2"/>
        <v>49</v>
      </c>
      <c r="C53">
        <v>0</v>
      </c>
      <c r="D53" s="1">
        <f t="shared" si="1"/>
        <v>1679162.7930667757</v>
      </c>
      <c r="E53">
        <v>1.1000000000000001</v>
      </c>
      <c r="F53">
        <v>1</v>
      </c>
      <c r="H53" s="1">
        <f t="shared" si="0"/>
        <v>27986.046551112926</v>
      </c>
      <c r="I53" s="2"/>
      <c r="J53" s="2"/>
    </row>
    <row r="54" spans="2:10">
      <c r="B54">
        <f t="shared" si="2"/>
        <v>50</v>
      </c>
      <c r="C54">
        <v>0</v>
      </c>
      <c r="D54" s="1">
        <f t="shared" si="1"/>
        <v>1847079.0723734533</v>
      </c>
      <c r="E54">
        <v>1.1000000000000001</v>
      </c>
      <c r="F54">
        <v>1</v>
      </c>
      <c r="H54" s="1">
        <f t="shared" si="0"/>
        <v>30784.651206224222</v>
      </c>
      <c r="I54" s="2">
        <f>SUM(H54/60)</f>
        <v>513.07752010373702</v>
      </c>
      <c r="J54" s="2">
        <f>SUM(I54/24)</f>
        <v>21.378230004322376</v>
      </c>
    </row>
    <row r="55" spans="2:10">
      <c r="B55">
        <f t="shared" si="2"/>
        <v>51</v>
      </c>
      <c r="C55">
        <v>0</v>
      </c>
      <c r="D55" s="1">
        <f t="shared" si="1"/>
        <v>1939433.025992126</v>
      </c>
      <c r="E55">
        <v>1.05</v>
      </c>
      <c r="F55">
        <v>1</v>
      </c>
      <c r="H55" s="1">
        <f t="shared" si="0"/>
        <v>32323.883766535433</v>
      </c>
      <c r="I55" s="2"/>
      <c r="J55" s="2"/>
    </row>
    <row r="56" spans="2:10">
      <c r="B56">
        <f t="shared" si="2"/>
        <v>52</v>
      </c>
      <c r="C56">
        <v>0</v>
      </c>
      <c r="D56" s="1">
        <f t="shared" si="1"/>
        <v>2036404.6772917323</v>
      </c>
      <c r="E56">
        <v>1.05</v>
      </c>
      <c r="F56">
        <v>1</v>
      </c>
      <c r="H56" s="1">
        <f t="shared" si="0"/>
        <v>33940.077954862201</v>
      </c>
      <c r="I56" s="2"/>
      <c r="J56" s="2"/>
    </row>
    <row r="57" spans="2:10">
      <c r="B57">
        <f t="shared" si="2"/>
        <v>53</v>
      </c>
      <c r="C57">
        <v>0</v>
      </c>
      <c r="D57" s="1">
        <f t="shared" si="1"/>
        <v>2138224.9111563191</v>
      </c>
      <c r="E57">
        <v>1.05</v>
      </c>
      <c r="F57">
        <v>1</v>
      </c>
      <c r="H57" s="1">
        <f t="shared" si="0"/>
        <v>35637.081852605319</v>
      </c>
      <c r="I57" s="2"/>
      <c r="J57" s="2"/>
    </row>
    <row r="58" spans="2:10">
      <c r="B58">
        <f t="shared" si="2"/>
        <v>54</v>
      </c>
      <c r="C58">
        <v>0</v>
      </c>
      <c r="D58" s="1">
        <f t="shared" si="1"/>
        <v>2245136.1567141353</v>
      </c>
      <c r="E58">
        <v>1.05</v>
      </c>
      <c r="F58">
        <v>1</v>
      </c>
      <c r="H58" s="1">
        <f t="shared" si="0"/>
        <v>37418.935945235586</v>
      </c>
      <c r="I58" s="2"/>
      <c r="J58" s="2"/>
    </row>
    <row r="59" spans="2:10">
      <c r="B59">
        <f t="shared" si="2"/>
        <v>55</v>
      </c>
      <c r="C59">
        <v>0</v>
      </c>
      <c r="D59" s="1">
        <f t="shared" si="1"/>
        <v>2357392.9645498423</v>
      </c>
      <c r="E59">
        <v>1.05</v>
      </c>
      <c r="F59">
        <v>1</v>
      </c>
      <c r="H59" s="1">
        <f t="shared" si="0"/>
        <v>39289.882742497372</v>
      </c>
      <c r="I59" s="2"/>
      <c r="J59" s="2"/>
    </row>
    <row r="60" spans="2:10">
      <c r="B60">
        <f t="shared" si="2"/>
        <v>56</v>
      </c>
      <c r="C60">
        <v>0</v>
      </c>
      <c r="D60" s="1">
        <f t="shared" si="1"/>
        <v>2475262.6127773346</v>
      </c>
      <c r="E60">
        <v>1.05</v>
      </c>
      <c r="F60">
        <v>1</v>
      </c>
      <c r="H60" s="1">
        <f t="shared" si="0"/>
        <v>41254.376879622243</v>
      </c>
      <c r="I60" s="2"/>
      <c r="J60" s="2"/>
    </row>
    <row r="61" spans="2:10">
      <c r="B61">
        <f t="shared" si="2"/>
        <v>57</v>
      </c>
      <c r="C61">
        <v>0</v>
      </c>
      <c r="D61" s="1">
        <f t="shared" si="1"/>
        <v>2599025.7434162013</v>
      </c>
      <c r="E61">
        <v>1.05</v>
      </c>
      <c r="F61">
        <v>1</v>
      </c>
      <c r="H61" s="1">
        <f t="shared" si="0"/>
        <v>43317.095723603357</v>
      </c>
      <c r="I61" s="2"/>
      <c r="J61" s="2"/>
    </row>
    <row r="62" spans="2:10">
      <c r="B62">
        <f t="shared" si="2"/>
        <v>58</v>
      </c>
      <c r="C62">
        <v>0</v>
      </c>
      <c r="D62" s="1">
        <f t="shared" si="1"/>
        <v>2728977.0305870115</v>
      </c>
      <c r="E62">
        <v>1.05</v>
      </c>
      <c r="F62">
        <v>1</v>
      </c>
      <c r="H62" s="1">
        <f t="shared" si="0"/>
        <v>45482.950509783528</v>
      </c>
      <c r="I62" s="2"/>
      <c r="J62" s="2"/>
    </row>
    <row r="63" spans="2:10">
      <c r="B63">
        <f t="shared" si="2"/>
        <v>59</v>
      </c>
      <c r="C63">
        <v>0</v>
      </c>
      <c r="D63" s="1">
        <f t="shared" si="1"/>
        <v>2865425.882116362</v>
      </c>
      <c r="E63">
        <v>1.05</v>
      </c>
      <c r="F63">
        <v>1</v>
      </c>
      <c r="H63" s="1">
        <f t="shared" si="0"/>
        <v>47757.098035272698</v>
      </c>
      <c r="I63" s="2"/>
      <c r="J63" s="2"/>
    </row>
    <row r="64" spans="2:10">
      <c r="B64">
        <f t="shared" si="2"/>
        <v>60</v>
      </c>
      <c r="C64">
        <v>0</v>
      </c>
      <c r="D64" s="1">
        <f t="shared" si="1"/>
        <v>3008697.17622218</v>
      </c>
      <c r="E64">
        <v>1.05</v>
      </c>
      <c r="F64">
        <v>1</v>
      </c>
      <c r="H64" s="1">
        <f t="shared" si="0"/>
        <v>50144.952937036331</v>
      </c>
      <c r="I64" s="2">
        <f>SUM(H64/60)</f>
        <v>835.74921561727217</v>
      </c>
      <c r="J64" s="2">
        <f>SUM(I64/24)</f>
        <v>34.822883984053007</v>
      </c>
    </row>
    <row r="65" spans="2:10">
      <c r="B65">
        <f t="shared" si="2"/>
        <v>61</v>
      </c>
      <c r="C65">
        <v>0</v>
      </c>
      <c r="D65" s="1">
        <f t="shared" si="1"/>
        <v>3068871.1197466236</v>
      </c>
      <c r="E65">
        <v>1.02</v>
      </c>
      <c r="F65">
        <v>1</v>
      </c>
      <c r="H65" s="1">
        <f t="shared" si="0"/>
        <v>51147.851995777062</v>
      </c>
      <c r="I65" s="2"/>
      <c r="J65" s="2"/>
    </row>
    <row r="66" spans="2:10">
      <c r="B66">
        <f t="shared" si="2"/>
        <v>62</v>
      </c>
      <c r="C66">
        <v>0</v>
      </c>
      <c r="D66" s="1">
        <f t="shared" si="1"/>
        <v>3130248.5421415563</v>
      </c>
      <c r="E66">
        <v>1.02</v>
      </c>
      <c r="F66">
        <v>1</v>
      </c>
      <c r="H66" s="1">
        <f t="shared" si="0"/>
        <v>52170.809035692604</v>
      </c>
      <c r="I66" s="2"/>
      <c r="J66" s="2"/>
    </row>
    <row r="67" spans="2:10">
      <c r="B67">
        <f t="shared" si="2"/>
        <v>63</v>
      </c>
      <c r="C67">
        <v>0</v>
      </c>
      <c r="D67" s="1">
        <f t="shared" si="1"/>
        <v>3192853.5129843876</v>
      </c>
      <c r="E67">
        <v>1.02</v>
      </c>
      <c r="F67">
        <v>1</v>
      </c>
      <c r="H67" s="1">
        <f t="shared" si="0"/>
        <v>53214.225216406463</v>
      </c>
      <c r="I67" s="2"/>
      <c r="J67" s="2"/>
    </row>
    <row r="68" spans="2:10">
      <c r="B68">
        <f t="shared" si="2"/>
        <v>64</v>
      </c>
      <c r="C68">
        <v>0</v>
      </c>
      <c r="D68" s="1">
        <f t="shared" si="1"/>
        <v>3256710.5832440755</v>
      </c>
      <c r="E68">
        <v>1.02</v>
      </c>
      <c r="F68">
        <v>1</v>
      </c>
      <c r="H68" s="1">
        <f t="shared" si="0"/>
        <v>54278.50972073459</v>
      </c>
      <c r="I68" s="2"/>
      <c r="J68" s="2"/>
    </row>
    <row r="69" spans="2:10">
      <c r="B69">
        <f t="shared" si="2"/>
        <v>65</v>
      </c>
      <c r="C69">
        <v>0</v>
      </c>
      <c r="D69" s="1">
        <f t="shared" si="1"/>
        <v>3321844.7949089571</v>
      </c>
      <c r="E69">
        <v>1.02</v>
      </c>
      <c r="F69">
        <v>1</v>
      </c>
      <c r="H69" s="1">
        <f t="shared" si="0"/>
        <v>55364.079915149283</v>
      </c>
      <c r="I69" s="2"/>
      <c r="J69" s="2"/>
    </row>
    <row r="70" spans="2:10">
      <c r="B70">
        <f t="shared" si="2"/>
        <v>66</v>
      </c>
      <c r="C70">
        <v>0</v>
      </c>
      <c r="D70" s="1">
        <f t="shared" si="1"/>
        <v>3388281.6908071362</v>
      </c>
      <c r="E70">
        <v>1.02</v>
      </c>
      <c r="F70">
        <v>1</v>
      </c>
      <c r="H70" s="1">
        <f t="shared" ref="H70:H103" si="3">SUM(D70/F70)/60</f>
        <v>56471.36151345227</v>
      </c>
      <c r="I70" s="2"/>
      <c r="J70" s="2"/>
    </row>
    <row r="71" spans="2:10">
      <c r="B71">
        <f t="shared" si="2"/>
        <v>67</v>
      </c>
      <c r="C71">
        <v>0</v>
      </c>
      <c r="D71" s="1">
        <f t="shared" ref="D71:D103" si="4">SUM(D70*E71)</f>
        <v>3456047.3246232788</v>
      </c>
      <c r="E71">
        <v>1.02</v>
      </c>
      <c r="F71">
        <v>1</v>
      </c>
      <c r="H71" s="1">
        <f t="shared" si="3"/>
        <v>57600.788743721314</v>
      </c>
      <c r="I71" s="2"/>
      <c r="J71" s="2"/>
    </row>
    <row r="72" spans="2:10">
      <c r="B72">
        <f t="shared" si="2"/>
        <v>68</v>
      </c>
      <c r="C72">
        <v>0</v>
      </c>
      <c r="D72" s="1">
        <f t="shared" si="4"/>
        <v>3525168.2711157445</v>
      </c>
      <c r="E72">
        <v>1.02</v>
      </c>
      <c r="F72">
        <v>1</v>
      </c>
      <c r="H72" s="1">
        <f t="shared" si="3"/>
        <v>58752.804518595738</v>
      </c>
      <c r="I72" s="2"/>
      <c r="J72" s="2"/>
    </row>
    <row r="73" spans="2:10">
      <c r="B73">
        <f t="shared" si="2"/>
        <v>69</v>
      </c>
      <c r="C73">
        <v>0</v>
      </c>
      <c r="D73" s="1">
        <f t="shared" si="4"/>
        <v>3595671.6365380595</v>
      </c>
      <c r="E73">
        <v>1.02</v>
      </c>
      <c r="F73">
        <v>1</v>
      </c>
      <c r="H73" s="1">
        <f t="shared" si="3"/>
        <v>59927.860608967654</v>
      </c>
      <c r="I73" s="2"/>
      <c r="J73" s="2"/>
    </row>
    <row r="74" spans="2:10">
      <c r="B74">
        <f t="shared" si="2"/>
        <v>70</v>
      </c>
      <c r="C74">
        <v>0</v>
      </c>
      <c r="D74" s="1">
        <f t="shared" si="4"/>
        <v>3667585.0692688208</v>
      </c>
      <c r="E74">
        <v>1.02</v>
      </c>
      <c r="F74">
        <v>1</v>
      </c>
      <c r="H74" s="1">
        <f t="shared" si="3"/>
        <v>61126.417821147013</v>
      </c>
      <c r="I74" s="2">
        <f>SUM(H74/60)</f>
        <v>1018.7736303524503</v>
      </c>
      <c r="J74" s="2">
        <f>SUM(I74/24)</f>
        <v>42.448901264685425</v>
      </c>
    </row>
    <row r="75" spans="2:10">
      <c r="B75">
        <f t="shared" si="2"/>
        <v>71</v>
      </c>
      <c r="C75">
        <v>0</v>
      </c>
      <c r="D75" s="1">
        <f t="shared" si="4"/>
        <v>3704260.9199615088</v>
      </c>
      <c r="E75">
        <v>1.01</v>
      </c>
      <c r="F75">
        <v>1</v>
      </c>
      <c r="H75" s="1">
        <f t="shared" si="3"/>
        <v>61737.68199935848</v>
      </c>
      <c r="I75" s="2"/>
      <c r="J75" s="2"/>
    </row>
    <row r="76" spans="2:10">
      <c r="B76">
        <f t="shared" si="2"/>
        <v>72</v>
      </c>
      <c r="C76">
        <v>0</v>
      </c>
      <c r="D76" s="1">
        <f t="shared" si="4"/>
        <v>3741303.529161124</v>
      </c>
      <c r="E76">
        <v>1.01</v>
      </c>
      <c r="F76">
        <v>1</v>
      </c>
      <c r="H76" s="1">
        <f t="shared" si="3"/>
        <v>62355.058819352067</v>
      </c>
      <c r="I76" s="2"/>
      <c r="J76" s="2"/>
    </row>
    <row r="77" spans="2:10">
      <c r="B77">
        <f t="shared" si="2"/>
        <v>73</v>
      </c>
      <c r="C77">
        <v>0</v>
      </c>
      <c r="D77" s="1">
        <f t="shared" si="4"/>
        <v>3778716.5644527352</v>
      </c>
      <c r="E77">
        <v>1.01</v>
      </c>
      <c r="F77">
        <v>1</v>
      </c>
      <c r="H77" s="1">
        <f t="shared" si="3"/>
        <v>62978.609407545584</v>
      </c>
      <c r="I77" s="2"/>
      <c r="J77" s="2"/>
    </row>
    <row r="78" spans="2:10">
      <c r="B78">
        <f t="shared" si="2"/>
        <v>74</v>
      </c>
      <c r="C78">
        <v>0</v>
      </c>
      <c r="D78" s="1">
        <f t="shared" si="4"/>
        <v>3816503.7300972627</v>
      </c>
      <c r="E78">
        <v>1.01</v>
      </c>
      <c r="F78">
        <v>1</v>
      </c>
      <c r="H78" s="1">
        <f t="shared" si="3"/>
        <v>63608.395501621046</v>
      </c>
      <c r="I78" s="2"/>
      <c r="J78" s="2"/>
    </row>
    <row r="79" spans="2:10">
      <c r="B79">
        <f t="shared" si="2"/>
        <v>75</v>
      </c>
      <c r="C79">
        <v>0</v>
      </c>
      <c r="D79" s="1">
        <f t="shared" si="4"/>
        <v>3854668.7673982354</v>
      </c>
      <c r="E79">
        <v>1.01</v>
      </c>
      <c r="F79">
        <v>1</v>
      </c>
      <c r="H79" s="1">
        <f t="shared" si="3"/>
        <v>64244.479456637258</v>
      </c>
      <c r="I79" s="2"/>
      <c r="J79" s="2"/>
    </row>
    <row r="80" spans="2:10">
      <c r="B80">
        <f t="shared" si="2"/>
        <v>76</v>
      </c>
      <c r="C80">
        <v>0</v>
      </c>
      <c r="D80" s="1">
        <f t="shared" si="4"/>
        <v>3893215.4550722176</v>
      </c>
      <c r="E80">
        <v>1.01</v>
      </c>
      <c r="F80">
        <v>1</v>
      </c>
      <c r="H80" s="1">
        <f t="shared" si="3"/>
        <v>64886.924251203629</v>
      </c>
      <c r="I80" s="2"/>
      <c r="J80" s="2"/>
    </row>
    <row r="81" spans="2:10">
      <c r="B81">
        <f t="shared" si="2"/>
        <v>77</v>
      </c>
      <c r="C81">
        <v>0</v>
      </c>
      <c r="D81" s="1">
        <f t="shared" si="4"/>
        <v>3932147.60962294</v>
      </c>
      <c r="E81">
        <v>1.01</v>
      </c>
      <c r="F81">
        <v>1</v>
      </c>
      <c r="H81" s="1">
        <f t="shared" si="3"/>
        <v>65535.793493715668</v>
      </c>
      <c r="I81" s="2"/>
      <c r="J81" s="2"/>
    </row>
    <row r="82" spans="2:10">
      <c r="B82">
        <f t="shared" si="2"/>
        <v>78</v>
      </c>
      <c r="C82">
        <v>0</v>
      </c>
      <c r="D82" s="1">
        <f t="shared" si="4"/>
        <v>3971469.0857191696</v>
      </c>
      <c r="E82">
        <v>1.01</v>
      </c>
      <c r="F82">
        <v>1</v>
      </c>
      <c r="H82" s="1">
        <f t="shared" si="3"/>
        <v>66191.151428652825</v>
      </c>
      <c r="I82" s="2"/>
      <c r="J82" s="2"/>
    </row>
    <row r="83" spans="2:10">
      <c r="B83">
        <f t="shared" si="2"/>
        <v>79</v>
      </c>
      <c r="C83">
        <v>0</v>
      </c>
      <c r="D83" s="1">
        <f t="shared" si="4"/>
        <v>4011183.7765763612</v>
      </c>
      <c r="E83">
        <v>1.01</v>
      </c>
      <c r="F83">
        <v>1</v>
      </c>
      <c r="H83" s="1">
        <f t="shared" si="3"/>
        <v>66853.062942939359</v>
      </c>
      <c r="I83" s="2"/>
      <c r="J83" s="2"/>
    </row>
    <row r="84" spans="2:10">
      <c r="B84">
        <f t="shared" ref="B84:B103" si="5">SUM(B83+1)</f>
        <v>80</v>
      </c>
      <c r="C84">
        <v>0</v>
      </c>
      <c r="D84" s="1">
        <f t="shared" si="4"/>
        <v>4051295.6143421247</v>
      </c>
      <c r="E84">
        <v>1.01</v>
      </c>
      <c r="F84">
        <v>1</v>
      </c>
      <c r="H84" s="1">
        <f t="shared" si="3"/>
        <v>67521.593572368743</v>
      </c>
      <c r="I84" s="2">
        <f>SUM(H84/60)</f>
        <v>1125.3598928728125</v>
      </c>
      <c r="J84" s="2">
        <f>SUM(I84/24)</f>
        <v>46.889995536367188</v>
      </c>
    </row>
    <row r="85" spans="2:10">
      <c r="B85">
        <f t="shared" si="5"/>
        <v>81</v>
      </c>
      <c r="C85">
        <v>0</v>
      </c>
      <c r="D85" s="1">
        <f t="shared" si="4"/>
        <v>4091808.5704855458</v>
      </c>
      <c r="E85">
        <v>1.01</v>
      </c>
      <c r="F85">
        <v>1</v>
      </c>
      <c r="H85" s="1">
        <f t="shared" si="3"/>
        <v>68196.809508092425</v>
      </c>
      <c r="I85" s="2"/>
      <c r="J85" s="2"/>
    </row>
    <row r="86" spans="2:10">
      <c r="B86">
        <f t="shared" si="5"/>
        <v>82</v>
      </c>
      <c r="C86">
        <v>0</v>
      </c>
      <c r="D86" s="1">
        <f t="shared" si="4"/>
        <v>4132726.6561904014</v>
      </c>
      <c r="E86">
        <v>1.01</v>
      </c>
      <c r="F86">
        <v>1</v>
      </c>
      <c r="H86" s="1">
        <f t="shared" si="3"/>
        <v>68878.777603173352</v>
      </c>
      <c r="I86" s="2"/>
      <c r="J86" s="2"/>
    </row>
    <row r="87" spans="2:10">
      <c r="B87">
        <f t="shared" si="5"/>
        <v>83</v>
      </c>
      <c r="C87">
        <v>0</v>
      </c>
      <c r="D87" s="1">
        <f t="shared" si="4"/>
        <v>4174053.9227523054</v>
      </c>
      <c r="E87">
        <v>1.01</v>
      </c>
      <c r="F87">
        <v>1</v>
      </c>
      <c r="H87" s="1">
        <f t="shared" si="3"/>
        <v>69567.565379205087</v>
      </c>
      <c r="I87" s="2"/>
      <c r="J87" s="2"/>
    </row>
    <row r="88" spans="2:10">
      <c r="B88">
        <f t="shared" si="5"/>
        <v>84</v>
      </c>
      <c r="C88">
        <v>0</v>
      </c>
      <c r="D88" s="1">
        <f t="shared" si="4"/>
        <v>4215794.4619798288</v>
      </c>
      <c r="E88">
        <v>1.01</v>
      </c>
      <c r="F88">
        <v>1</v>
      </c>
      <c r="H88" s="1">
        <f t="shared" si="3"/>
        <v>70263.241032997146</v>
      </c>
      <c r="I88" s="2"/>
      <c r="J88" s="2"/>
    </row>
    <row r="89" spans="2:10">
      <c r="B89">
        <f t="shared" si="5"/>
        <v>85</v>
      </c>
      <c r="C89">
        <v>0</v>
      </c>
      <c r="D89" s="1">
        <f t="shared" si="4"/>
        <v>4257952.4065996269</v>
      </c>
      <c r="E89">
        <v>1.01</v>
      </c>
      <c r="F89">
        <v>1</v>
      </c>
      <c r="H89" s="1">
        <f t="shared" si="3"/>
        <v>70965.873443327117</v>
      </c>
      <c r="I89" s="2"/>
      <c r="J89" s="2"/>
    </row>
    <row r="90" spans="2:10">
      <c r="B90">
        <f t="shared" si="5"/>
        <v>86</v>
      </c>
      <c r="C90">
        <v>0</v>
      </c>
      <c r="D90" s="1">
        <f t="shared" si="4"/>
        <v>4300531.9306656234</v>
      </c>
      <c r="E90">
        <v>1.01</v>
      </c>
      <c r="F90">
        <v>1</v>
      </c>
      <c r="H90" s="1">
        <f t="shared" si="3"/>
        <v>71675.532177760397</v>
      </c>
      <c r="I90" s="2"/>
      <c r="J90" s="2"/>
    </row>
    <row r="91" spans="2:10">
      <c r="B91">
        <f t="shared" si="5"/>
        <v>87</v>
      </c>
      <c r="C91">
        <v>0</v>
      </c>
      <c r="D91" s="1">
        <f t="shared" si="4"/>
        <v>4343537.2499722801</v>
      </c>
      <c r="E91">
        <v>1.01</v>
      </c>
      <c r="F91">
        <v>1</v>
      </c>
      <c r="H91" s="1">
        <f t="shared" si="3"/>
        <v>72392.287499537997</v>
      </c>
      <c r="I91" s="2"/>
      <c r="J91" s="2"/>
    </row>
    <row r="92" spans="2:10">
      <c r="B92">
        <f t="shared" si="5"/>
        <v>88</v>
      </c>
      <c r="C92">
        <v>0</v>
      </c>
      <c r="D92" s="1">
        <f t="shared" si="4"/>
        <v>4386972.6224720031</v>
      </c>
      <c r="E92">
        <v>1.01</v>
      </c>
      <c r="F92">
        <v>1</v>
      </c>
      <c r="H92" s="1">
        <f t="shared" si="3"/>
        <v>73116.210374533388</v>
      </c>
      <c r="I92" s="2"/>
      <c r="J92" s="2"/>
    </row>
    <row r="93" spans="2:10">
      <c r="B93">
        <f t="shared" si="5"/>
        <v>89</v>
      </c>
      <c r="C93">
        <v>0</v>
      </c>
      <c r="D93" s="1">
        <f t="shared" si="4"/>
        <v>4430842.3486967236</v>
      </c>
      <c r="E93">
        <v>1.01</v>
      </c>
      <c r="F93">
        <v>1</v>
      </c>
      <c r="H93" s="1">
        <f t="shared" si="3"/>
        <v>73847.372478278732</v>
      </c>
      <c r="I93" s="2"/>
      <c r="J93" s="2"/>
    </row>
    <row r="94" spans="2:10">
      <c r="B94">
        <f t="shared" si="5"/>
        <v>90</v>
      </c>
      <c r="C94">
        <v>0</v>
      </c>
      <c r="D94" s="1">
        <f t="shared" si="4"/>
        <v>4475150.7721836912</v>
      </c>
      <c r="E94">
        <v>1.01</v>
      </c>
      <c r="F94">
        <v>1</v>
      </c>
      <c r="H94" s="1">
        <f t="shared" si="3"/>
        <v>74585.846203061519</v>
      </c>
      <c r="I94" s="2">
        <f>SUM(H94/60)</f>
        <v>1243.0974367176921</v>
      </c>
      <c r="J94" s="2">
        <f>SUM(I94/24)</f>
        <v>51.795726529903838</v>
      </c>
    </row>
    <row r="95" spans="2:10">
      <c r="B95">
        <f t="shared" si="5"/>
        <v>91</v>
      </c>
      <c r="C95">
        <v>0</v>
      </c>
      <c r="D95" s="1">
        <f t="shared" si="4"/>
        <v>4519902.2799055278</v>
      </c>
      <c r="E95">
        <v>1.01</v>
      </c>
      <c r="F95">
        <v>1</v>
      </c>
      <c r="H95" s="1">
        <f t="shared" si="3"/>
        <v>75331.704665092126</v>
      </c>
      <c r="I95" s="2"/>
      <c r="J95" s="2"/>
    </row>
    <row r="96" spans="2:10">
      <c r="B96">
        <f t="shared" si="5"/>
        <v>92</v>
      </c>
      <c r="C96">
        <v>0</v>
      </c>
      <c r="D96" s="1">
        <f t="shared" si="4"/>
        <v>4565101.3027045829</v>
      </c>
      <c r="E96">
        <v>1.01</v>
      </c>
      <c r="F96">
        <v>1</v>
      </c>
      <c r="H96" s="1">
        <f t="shared" si="3"/>
        <v>76085.021711743044</v>
      </c>
      <c r="I96" s="2"/>
      <c r="J96" s="2"/>
    </row>
    <row r="97" spans="2:10">
      <c r="B97">
        <f t="shared" si="5"/>
        <v>93</v>
      </c>
      <c r="C97">
        <v>0</v>
      </c>
      <c r="D97" s="1">
        <f t="shared" si="4"/>
        <v>4610752.3157316288</v>
      </c>
      <c r="E97">
        <v>1.01</v>
      </c>
      <c r="F97">
        <v>1</v>
      </c>
      <c r="H97" s="1">
        <f t="shared" si="3"/>
        <v>76845.871928860477</v>
      </c>
      <c r="I97" s="2"/>
      <c r="J97" s="2"/>
    </row>
    <row r="98" spans="2:10">
      <c r="B98">
        <f t="shared" si="5"/>
        <v>94</v>
      </c>
      <c r="C98">
        <v>0</v>
      </c>
      <c r="D98" s="1">
        <f t="shared" si="4"/>
        <v>4656859.8388889451</v>
      </c>
      <c r="E98">
        <v>1.01</v>
      </c>
      <c r="F98">
        <v>1</v>
      </c>
      <c r="H98" s="1">
        <f t="shared" si="3"/>
        <v>77614.330648149087</v>
      </c>
      <c r="I98" s="2"/>
      <c r="J98" s="2"/>
    </row>
    <row r="99" spans="2:10">
      <c r="B99">
        <f t="shared" si="5"/>
        <v>95</v>
      </c>
      <c r="C99">
        <v>0</v>
      </c>
      <c r="D99" s="1">
        <f t="shared" si="4"/>
        <v>4703428.4372778349</v>
      </c>
      <c r="E99">
        <v>1.01</v>
      </c>
      <c r="F99">
        <v>1</v>
      </c>
      <c r="H99" s="1">
        <f t="shared" si="3"/>
        <v>78390.473954630579</v>
      </c>
      <c r="I99" s="2"/>
      <c r="J99" s="2"/>
    </row>
    <row r="100" spans="2:10">
      <c r="B100">
        <f t="shared" si="5"/>
        <v>96</v>
      </c>
      <c r="C100">
        <v>0</v>
      </c>
      <c r="D100" s="1">
        <f t="shared" si="4"/>
        <v>4750462.7216506135</v>
      </c>
      <c r="E100">
        <v>1.01</v>
      </c>
      <c r="F100">
        <v>1</v>
      </c>
      <c r="H100" s="1">
        <f t="shared" si="3"/>
        <v>79174.378694176892</v>
      </c>
      <c r="I100" s="2"/>
      <c r="J100" s="2"/>
    </row>
    <row r="101" spans="2:10">
      <c r="B101">
        <f t="shared" si="5"/>
        <v>97</v>
      </c>
      <c r="C101">
        <v>0</v>
      </c>
      <c r="D101" s="1">
        <f t="shared" si="4"/>
        <v>4797967.3488671193</v>
      </c>
      <c r="E101">
        <v>1.01</v>
      </c>
      <c r="F101">
        <v>1</v>
      </c>
      <c r="H101" s="1">
        <f t="shared" si="3"/>
        <v>79966.122481118655</v>
      </c>
      <c r="I101" s="2"/>
      <c r="J101" s="2"/>
    </row>
    <row r="102" spans="2:10">
      <c r="B102">
        <f t="shared" si="5"/>
        <v>98</v>
      </c>
      <c r="C102">
        <v>0</v>
      </c>
      <c r="D102" s="1">
        <f t="shared" si="4"/>
        <v>4845947.0223557903</v>
      </c>
      <c r="E102">
        <v>1.01</v>
      </c>
      <c r="F102">
        <v>1</v>
      </c>
      <c r="H102" s="1">
        <f t="shared" si="3"/>
        <v>80765.783705929833</v>
      </c>
      <c r="I102" s="2"/>
      <c r="J102" s="2"/>
    </row>
    <row r="103" spans="2:10">
      <c r="B103">
        <f t="shared" si="5"/>
        <v>99</v>
      </c>
      <c r="C103">
        <v>0</v>
      </c>
      <c r="D103" s="1">
        <f t="shared" si="4"/>
        <v>4894406.4925793484</v>
      </c>
      <c r="E103">
        <v>1.01</v>
      </c>
      <c r="F103">
        <v>1</v>
      </c>
      <c r="H103" s="1">
        <f t="shared" si="3"/>
        <v>81573.441542989138</v>
      </c>
      <c r="I103" s="2">
        <f>SUM(H103/60)</f>
        <v>1359.5573590498191</v>
      </c>
      <c r="J103" s="2">
        <f>SUM(I103/24)</f>
        <v>56.648223293742461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8303-3483-4FBD-A7C2-4BAE5CBE4753}">
  <dimension ref="B2:P10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1" sqref="G1:M1048576"/>
    </sheetView>
  </sheetViews>
  <sheetFormatPr baseColWidth="10" defaultColWidth="8.83203125" defaultRowHeight="15"/>
  <cols>
    <col min="2" max="3" width="11.83203125" customWidth="1"/>
    <col min="4" max="4" width="13.1640625" style="1" customWidth="1"/>
    <col min="5" max="5" width="13.1640625" customWidth="1"/>
    <col min="7" max="7" width="22.33203125" style="5" customWidth="1"/>
    <col min="8" max="10" width="13" style="5" customWidth="1"/>
    <col min="11" max="11" width="19.5" style="5" customWidth="1"/>
    <col min="12" max="12" width="9" style="5"/>
    <col min="13" max="13" width="18.6640625" style="5" customWidth="1"/>
    <col min="14" max="14" width="13.5" style="1" customWidth="1"/>
    <col min="15" max="16" width="12.83203125" style="5" customWidth="1"/>
  </cols>
  <sheetData>
    <row r="2" spans="2:16">
      <c r="K2" s="5" t="s">
        <v>31</v>
      </c>
      <c r="L2" s="5" t="s">
        <v>32</v>
      </c>
    </row>
    <row r="3" spans="2:16">
      <c r="G3" s="5" t="s">
        <v>17</v>
      </c>
      <c r="H3" s="5" t="s">
        <v>13</v>
      </c>
      <c r="K3" s="5" t="s">
        <v>14</v>
      </c>
      <c r="L3" s="5" t="s">
        <v>16</v>
      </c>
    </row>
    <row r="4" spans="2:16">
      <c r="B4" t="s">
        <v>0</v>
      </c>
      <c r="C4" t="s">
        <v>2</v>
      </c>
      <c r="D4" s="1" t="s">
        <v>1</v>
      </c>
      <c r="E4" t="s">
        <v>5</v>
      </c>
      <c r="F4" t="s">
        <v>3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8</v>
      </c>
      <c r="L4" s="5" t="s">
        <v>15</v>
      </c>
      <c r="M4" s="5" t="s">
        <v>33</v>
      </c>
      <c r="N4" s="1" t="s">
        <v>4</v>
      </c>
      <c r="O4" s="4" t="s">
        <v>6</v>
      </c>
      <c r="P4" s="4" t="s">
        <v>7</v>
      </c>
    </row>
    <row r="5" spans="2:16">
      <c r="B5">
        <v>1</v>
      </c>
      <c r="C5">
        <v>0</v>
      </c>
      <c r="D5" s="1">
        <v>15</v>
      </c>
      <c r="E5">
        <v>0</v>
      </c>
      <c r="F5">
        <v>1</v>
      </c>
      <c r="G5" s="5">
        <f>SUM(F5*2)</f>
        <v>2</v>
      </c>
      <c r="H5" s="5">
        <v>0.94</v>
      </c>
      <c r="I5" s="5">
        <v>1.89</v>
      </c>
      <c r="J5" s="5">
        <v>3.54</v>
      </c>
      <c r="K5" s="5">
        <f>SUM((4*3600*2)/(24*3600))</f>
        <v>0.33333333333333331</v>
      </c>
      <c r="L5" s="5">
        <f>SUM((2*3600*3)/(24*3600))</f>
        <v>0.25</v>
      </c>
      <c r="M5" s="5">
        <f>SUM(L5,K5,J5,I5,H5,G5)</f>
        <v>8.9533333333333331</v>
      </c>
      <c r="N5" s="1">
        <f>SUM(D5/M5)/60</f>
        <v>2.7922561429635149E-2</v>
      </c>
      <c r="O5" s="6"/>
      <c r="P5" s="6"/>
    </row>
    <row r="6" spans="2:16">
      <c r="B6">
        <v>2</v>
      </c>
      <c r="C6">
        <v>0</v>
      </c>
      <c r="D6" s="1">
        <f>SUM(D5*E6)</f>
        <v>30</v>
      </c>
      <c r="E6">
        <v>2</v>
      </c>
      <c r="F6">
        <v>1</v>
      </c>
      <c r="G6" s="5">
        <f t="shared" ref="G6:G69" si="0">SUM(F6*2)</f>
        <v>2</v>
      </c>
      <c r="H6" s="5">
        <v>0.94</v>
      </c>
      <c r="I6" s="5">
        <v>1.89</v>
      </c>
      <c r="J6" s="5">
        <v>3.54</v>
      </c>
      <c r="K6" s="5">
        <f t="shared" ref="K6:K69" si="1">SUM((4*3600*2)/(24*3600))</f>
        <v>0.33333333333333331</v>
      </c>
      <c r="L6" s="5">
        <f t="shared" ref="L6:L69" si="2">SUM((2*3600*3)/(24*3600))</f>
        <v>0.25</v>
      </c>
      <c r="M6" s="5">
        <f t="shared" ref="M6:M69" si="3">SUM(L6,K6,J6,I6,H6,G6)</f>
        <v>8.9533333333333331</v>
      </c>
      <c r="N6" s="1">
        <f t="shared" ref="N6:N69" si="4">SUM(D6/M6)/60</f>
        <v>5.5845122859270298E-2</v>
      </c>
      <c r="O6" s="6"/>
      <c r="P6" s="6"/>
    </row>
    <row r="7" spans="2:16">
      <c r="B7">
        <v>3</v>
      </c>
      <c r="C7">
        <v>0</v>
      </c>
      <c r="D7" s="1">
        <v>100</v>
      </c>
      <c r="E7" s="2">
        <f>SUM(D7/D6)</f>
        <v>3.3333333333333335</v>
      </c>
      <c r="F7">
        <v>1</v>
      </c>
      <c r="G7" s="5">
        <f t="shared" si="0"/>
        <v>2</v>
      </c>
      <c r="H7" s="5">
        <v>0.94</v>
      </c>
      <c r="I7" s="5">
        <v>1.89</v>
      </c>
      <c r="J7" s="5">
        <v>3.54</v>
      </c>
      <c r="K7" s="5">
        <f t="shared" si="1"/>
        <v>0.33333333333333331</v>
      </c>
      <c r="L7" s="5">
        <f t="shared" si="2"/>
        <v>0.25</v>
      </c>
      <c r="M7" s="5">
        <f t="shared" si="3"/>
        <v>8.9533333333333331</v>
      </c>
      <c r="N7" s="1">
        <f t="shared" si="4"/>
        <v>0.18615040953090095</v>
      </c>
      <c r="O7" s="6"/>
      <c r="P7" s="6"/>
    </row>
    <row r="8" spans="2:16">
      <c r="B8">
        <v>4</v>
      </c>
      <c r="C8">
        <v>0</v>
      </c>
      <c r="D8" s="1">
        <f t="shared" ref="D8:D71" si="5">SUM(D7*E8)</f>
        <v>200</v>
      </c>
      <c r="E8">
        <v>2</v>
      </c>
      <c r="F8">
        <v>1</v>
      </c>
      <c r="G8" s="5">
        <f t="shared" si="0"/>
        <v>2</v>
      </c>
      <c r="H8" s="5">
        <v>0.94</v>
      </c>
      <c r="I8" s="5">
        <v>1.89</v>
      </c>
      <c r="J8" s="5">
        <v>3.54</v>
      </c>
      <c r="K8" s="5">
        <f t="shared" si="1"/>
        <v>0.33333333333333331</v>
      </c>
      <c r="L8" s="5">
        <f t="shared" si="2"/>
        <v>0.25</v>
      </c>
      <c r="M8" s="5">
        <f t="shared" si="3"/>
        <v>8.9533333333333331</v>
      </c>
      <c r="N8" s="1">
        <f t="shared" si="4"/>
        <v>0.3723008190618019</v>
      </c>
      <c r="O8" s="6"/>
      <c r="P8" s="6"/>
    </row>
    <row r="9" spans="2:16">
      <c r="B9">
        <v>5</v>
      </c>
      <c r="C9">
        <v>0</v>
      </c>
      <c r="D9" s="1">
        <f t="shared" si="5"/>
        <v>400</v>
      </c>
      <c r="E9">
        <v>2</v>
      </c>
      <c r="F9">
        <v>1</v>
      </c>
      <c r="G9" s="5">
        <f t="shared" si="0"/>
        <v>2</v>
      </c>
      <c r="H9" s="5">
        <v>0.94</v>
      </c>
      <c r="I9" s="5">
        <v>1.89</v>
      </c>
      <c r="J9" s="5">
        <v>3.54</v>
      </c>
      <c r="K9" s="5">
        <f t="shared" si="1"/>
        <v>0.33333333333333331</v>
      </c>
      <c r="L9" s="5">
        <f t="shared" si="2"/>
        <v>0.25</v>
      </c>
      <c r="M9" s="5">
        <f t="shared" si="3"/>
        <v>8.9533333333333331</v>
      </c>
      <c r="N9" s="1">
        <f t="shared" si="4"/>
        <v>0.7446016381236038</v>
      </c>
      <c r="O9" s="6"/>
      <c r="P9" s="6"/>
    </row>
    <row r="10" spans="2:16">
      <c r="B10">
        <v>6</v>
      </c>
      <c r="C10">
        <v>0</v>
      </c>
      <c r="D10" s="1">
        <f t="shared" si="5"/>
        <v>800</v>
      </c>
      <c r="E10">
        <v>2</v>
      </c>
      <c r="F10">
        <v>1</v>
      </c>
      <c r="G10" s="5">
        <f t="shared" si="0"/>
        <v>2</v>
      </c>
      <c r="H10" s="5">
        <v>0.94</v>
      </c>
      <c r="I10" s="5">
        <v>1.89</v>
      </c>
      <c r="J10" s="5">
        <v>3.54</v>
      </c>
      <c r="K10" s="5">
        <f t="shared" si="1"/>
        <v>0.33333333333333331</v>
      </c>
      <c r="L10" s="5">
        <f t="shared" si="2"/>
        <v>0.25</v>
      </c>
      <c r="M10" s="5">
        <f t="shared" si="3"/>
        <v>8.9533333333333331</v>
      </c>
      <c r="N10" s="1">
        <f t="shared" si="4"/>
        <v>1.4892032762472076</v>
      </c>
      <c r="O10" s="6"/>
      <c r="P10" s="6"/>
    </row>
    <row r="11" spans="2:16">
      <c r="B11">
        <v>7</v>
      </c>
      <c r="C11">
        <v>0</v>
      </c>
      <c r="D11" s="1">
        <v>1200</v>
      </c>
      <c r="E11" s="2">
        <f>SUM(D11/D10)</f>
        <v>1.5</v>
      </c>
      <c r="F11">
        <v>1</v>
      </c>
      <c r="G11" s="5">
        <f t="shared" si="0"/>
        <v>2</v>
      </c>
      <c r="H11" s="5">
        <v>0.94</v>
      </c>
      <c r="I11" s="5">
        <v>1.89</v>
      </c>
      <c r="J11" s="5">
        <v>3.54</v>
      </c>
      <c r="K11" s="5">
        <f t="shared" si="1"/>
        <v>0.33333333333333331</v>
      </c>
      <c r="L11" s="5">
        <f t="shared" si="2"/>
        <v>0.25</v>
      </c>
      <c r="M11" s="5">
        <f t="shared" si="3"/>
        <v>8.9533333333333331</v>
      </c>
      <c r="N11" s="1">
        <f t="shared" si="4"/>
        <v>2.2338049143708116</v>
      </c>
      <c r="O11" s="6"/>
      <c r="P11" s="6"/>
    </row>
    <row r="12" spans="2:16">
      <c r="B12">
        <v>8</v>
      </c>
      <c r="C12">
        <v>0</v>
      </c>
      <c r="D12" s="1">
        <v>1500</v>
      </c>
      <c r="E12" s="2">
        <f>SUM(D12/D11)</f>
        <v>1.25</v>
      </c>
      <c r="F12">
        <v>1</v>
      </c>
      <c r="G12" s="5">
        <f t="shared" si="0"/>
        <v>2</v>
      </c>
      <c r="H12" s="5">
        <v>0.94</v>
      </c>
      <c r="I12" s="5">
        <v>1.89</v>
      </c>
      <c r="J12" s="5">
        <v>3.54</v>
      </c>
      <c r="K12" s="5">
        <f t="shared" si="1"/>
        <v>0.33333333333333331</v>
      </c>
      <c r="L12" s="5">
        <f t="shared" si="2"/>
        <v>0.25</v>
      </c>
      <c r="M12" s="5">
        <f t="shared" si="3"/>
        <v>8.9533333333333331</v>
      </c>
      <c r="N12" s="1">
        <f t="shared" si="4"/>
        <v>2.7922561429635149</v>
      </c>
      <c r="O12" s="6"/>
      <c r="P12" s="6"/>
    </row>
    <row r="13" spans="2:16">
      <c r="B13">
        <v>9</v>
      </c>
      <c r="C13">
        <v>0</v>
      </c>
      <c r="D13" s="1">
        <v>2000</v>
      </c>
      <c r="E13" s="2">
        <f>SUM(D13/D12)</f>
        <v>1.3333333333333333</v>
      </c>
      <c r="F13">
        <v>1</v>
      </c>
      <c r="G13" s="5">
        <f t="shared" si="0"/>
        <v>2</v>
      </c>
      <c r="H13" s="5">
        <v>0.94</v>
      </c>
      <c r="I13" s="5">
        <v>1.89</v>
      </c>
      <c r="J13" s="5">
        <v>3.54</v>
      </c>
      <c r="K13" s="5">
        <f t="shared" si="1"/>
        <v>0.33333333333333331</v>
      </c>
      <c r="L13" s="5">
        <f t="shared" si="2"/>
        <v>0.25</v>
      </c>
      <c r="M13" s="5">
        <f t="shared" si="3"/>
        <v>8.9533333333333331</v>
      </c>
      <c r="N13" s="1">
        <f t="shared" si="4"/>
        <v>3.7230081906180192</v>
      </c>
      <c r="O13" s="6"/>
      <c r="P13" s="6"/>
    </row>
    <row r="14" spans="2:16">
      <c r="B14">
        <v>10</v>
      </c>
      <c r="C14">
        <v>0</v>
      </c>
      <c r="D14" s="1">
        <f>SUM(D13*E14)</f>
        <v>3000</v>
      </c>
      <c r="E14">
        <v>1.5</v>
      </c>
      <c r="F14">
        <v>1</v>
      </c>
      <c r="G14" s="5">
        <f t="shared" si="0"/>
        <v>2</v>
      </c>
      <c r="H14" s="5">
        <v>0.94</v>
      </c>
      <c r="I14" s="5">
        <v>1.89</v>
      </c>
      <c r="J14" s="5">
        <v>3.54</v>
      </c>
      <c r="K14" s="5">
        <f t="shared" si="1"/>
        <v>0.33333333333333331</v>
      </c>
      <c r="L14" s="5">
        <f t="shared" si="2"/>
        <v>0.25</v>
      </c>
      <c r="M14" s="5">
        <f t="shared" si="3"/>
        <v>8.9533333333333331</v>
      </c>
      <c r="N14" s="1">
        <f t="shared" si="4"/>
        <v>5.5845122859270298</v>
      </c>
      <c r="O14" s="6">
        <f>SUM(N14/60)</f>
        <v>9.3075204765450489E-2</v>
      </c>
      <c r="P14" s="6">
        <f>SUM(O14/24)</f>
        <v>3.8781335318937705E-3</v>
      </c>
    </row>
    <row r="15" spans="2:16">
      <c r="B15">
        <v>11</v>
      </c>
      <c r="C15">
        <v>0</v>
      </c>
      <c r="D15" s="1">
        <f t="shared" si="5"/>
        <v>3600</v>
      </c>
      <c r="E15">
        <v>1.2</v>
      </c>
      <c r="F15">
        <v>1</v>
      </c>
      <c r="G15" s="5">
        <f t="shared" si="0"/>
        <v>2</v>
      </c>
      <c r="H15" s="5">
        <v>0.94</v>
      </c>
      <c r="I15" s="5">
        <v>1.89</v>
      </c>
      <c r="J15" s="5">
        <v>3.54</v>
      </c>
      <c r="K15" s="5">
        <f t="shared" si="1"/>
        <v>0.33333333333333331</v>
      </c>
      <c r="L15" s="5">
        <f t="shared" si="2"/>
        <v>0.25</v>
      </c>
      <c r="M15" s="5">
        <f t="shared" si="3"/>
        <v>8.9533333333333331</v>
      </c>
      <c r="N15" s="1">
        <f t="shared" si="4"/>
        <v>6.7014147431124353</v>
      </c>
      <c r="O15" s="6"/>
      <c r="P15" s="6"/>
    </row>
    <row r="16" spans="2:16">
      <c r="B16">
        <v>12</v>
      </c>
      <c r="C16">
        <v>0</v>
      </c>
      <c r="D16" s="1">
        <f t="shared" si="5"/>
        <v>4320</v>
      </c>
      <c r="E16">
        <v>1.2</v>
      </c>
      <c r="F16">
        <v>1</v>
      </c>
      <c r="G16" s="5">
        <f t="shared" si="0"/>
        <v>2</v>
      </c>
      <c r="H16" s="5">
        <v>0.94</v>
      </c>
      <c r="I16" s="5">
        <v>1.89</v>
      </c>
      <c r="J16" s="5">
        <v>3.54</v>
      </c>
      <c r="K16" s="5">
        <f t="shared" si="1"/>
        <v>0.33333333333333331</v>
      </c>
      <c r="L16" s="5">
        <f t="shared" si="2"/>
        <v>0.25</v>
      </c>
      <c r="M16" s="5">
        <f t="shared" si="3"/>
        <v>8.9533333333333331</v>
      </c>
      <c r="N16" s="1">
        <f t="shared" si="4"/>
        <v>8.041697691734921</v>
      </c>
      <c r="O16" s="6"/>
      <c r="P16" s="6"/>
    </row>
    <row r="17" spans="2:16">
      <c r="B17">
        <v>13</v>
      </c>
      <c r="C17">
        <v>0</v>
      </c>
      <c r="D17" s="1">
        <f t="shared" si="5"/>
        <v>5184</v>
      </c>
      <c r="E17">
        <v>1.2</v>
      </c>
      <c r="F17">
        <v>1</v>
      </c>
      <c r="G17" s="5">
        <f t="shared" si="0"/>
        <v>2</v>
      </c>
      <c r="H17" s="5">
        <v>0.94</v>
      </c>
      <c r="I17" s="5">
        <v>1.89</v>
      </c>
      <c r="J17" s="5">
        <v>3.54</v>
      </c>
      <c r="K17" s="5">
        <f t="shared" si="1"/>
        <v>0.33333333333333331</v>
      </c>
      <c r="L17" s="5">
        <f t="shared" si="2"/>
        <v>0.25</v>
      </c>
      <c r="M17" s="5">
        <f t="shared" si="3"/>
        <v>8.9533333333333331</v>
      </c>
      <c r="N17" s="1">
        <f t="shared" si="4"/>
        <v>9.6500372300819048</v>
      </c>
      <c r="O17" s="6"/>
      <c r="P17" s="6"/>
    </row>
    <row r="18" spans="2:16">
      <c r="B18">
        <v>14</v>
      </c>
      <c r="C18">
        <v>0</v>
      </c>
      <c r="D18" s="1">
        <f t="shared" si="5"/>
        <v>6220.8</v>
      </c>
      <c r="E18">
        <v>1.2</v>
      </c>
      <c r="F18">
        <v>1</v>
      </c>
      <c r="G18" s="5">
        <f t="shared" si="0"/>
        <v>2</v>
      </c>
      <c r="H18" s="5">
        <v>0.94</v>
      </c>
      <c r="I18" s="5">
        <v>1.89</v>
      </c>
      <c r="J18" s="5">
        <v>3.54</v>
      </c>
      <c r="K18" s="5">
        <f t="shared" si="1"/>
        <v>0.33333333333333331</v>
      </c>
      <c r="L18" s="5">
        <f t="shared" si="2"/>
        <v>0.25</v>
      </c>
      <c r="M18" s="5">
        <f t="shared" si="3"/>
        <v>8.9533333333333331</v>
      </c>
      <c r="N18" s="1">
        <f t="shared" si="4"/>
        <v>11.580044676098288</v>
      </c>
      <c r="O18" s="6"/>
      <c r="P18" s="6"/>
    </row>
    <row r="19" spans="2:16">
      <c r="B19">
        <f>SUM(B18+1)</f>
        <v>15</v>
      </c>
      <c r="C19">
        <v>0</v>
      </c>
      <c r="D19" s="1">
        <f t="shared" si="5"/>
        <v>7464.96</v>
      </c>
      <c r="E19">
        <v>1.2</v>
      </c>
      <c r="F19">
        <v>1</v>
      </c>
      <c r="G19" s="5">
        <f t="shared" si="0"/>
        <v>2</v>
      </c>
      <c r="H19" s="5">
        <v>0.94</v>
      </c>
      <c r="I19" s="5">
        <v>1.89</v>
      </c>
      <c r="J19" s="5">
        <v>3.54</v>
      </c>
      <c r="K19" s="5">
        <f t="shared" si="1"/>
        <v>0.33333333333333331</v>
      </c>
      <c r="L19" s="5">
        <f t="shared" si="2"/>
        <v>0.25</v>
      </c>
      <c r="M19" s="5">
        <f t="shared" si="3"/>
        <v>8.9533333333333331</v>
      </c>
      <c r="N19" s="1">
        <f t="shared" si="4"/>
        <v>13.896053611317944</v>
      </c>
      <c r="O19" s="6"/>
      <c r="P19" s="6"/>
    </row>
    <row r="20" spans="2:16">
      <c r="B20">
        <f t="shared" ref="B20:B83" si="6">SUM(B19+1)</f>
        <v>16</v>
      </c>
      <c r="C20">
        <v>0</v>
      </c>
      <c r="D20" s="1">
        <f t="shared" si="5"/>
        <v>8957.9519999999993</v>
      </c>
      <c r="E20">
        <v>1.2</v>
      </c>
      <c r="F20">
        <v>1</v>
      </c>
      <c r="G20" s="5">
        <f t="shared" si="0"/>
        <v>2</v>
      </c>
      <c r="H20" s="5">
        <v>0.94</v>
      </c>
      <c r="I20" s="5">
        <v>1.89</v>
      </c>
      <c r="J20" s="5">
        <v>3.54</v>
      </c>
      <c r="K20" s="5">
        <f t="shared" si="1"/>
        <v>0.33333333333333331</v>
      </c>
      <c r="L20" s="5">
        <f t="shared" si="2"/>
        <v>0.25</v>
      </c>
      <c r="M20" s="5">
        <f t="shared" si="3"/>
        <v>8.9533333333333331</v>
      </c>
      <c r="N20" s="1">
        <f t="shared" si="4"/>
        <v>16.675264333581531</v>
      </c>
      <c r="O20" s="6"/>
      <c r="P20" s="6"/>
    </row>
    <row r="21" spans="2:16">
      <c r="B21">
        <f t="shared" si="6"/>
        <v>17</v>
      </c>
      <c r="C21">
        <v>0</v>
      </c>
      <c r="D21" s="1">
        <f t="shared" si="5"/>
        <v>10749.542399999998</v>
      </c>
      <c r="E21">
        <v>1.2</v>
      </c>
      <c r="F21">
        <v>1</v>
      </c>
      <c r="G21" s="5">
        <f t="shared" si="0"/>
        <v>2</v>
      </c>
      <c r="H21" s="5">
        <v>0.94</v>
      </c>
      <c r="I21" s="5">
        <v>1.89</v>
      </c>
      <c r="J21" s="5">
        <v>3.54</v>
      </c>
      <c r="K21" s="5">
        <f t="shared" si="1"/>
        <v>0.33333333333333331</v>
      </c>
      <c r="L21" s="5">
        <f t="shared" si="2"/>
        <v>0.25</v>
      </c>
      <c r="M21" s="5">
        <f t="shared" si="3"/>
        <v>8.9533333333333331</v>
      </c>
      <c r="N21" s="1">
        <f t="shared" si="4"/>
        <v>20.010317200297838</v>
      </c>
      <c r="O21" s="6"/>
      <c r="P21" s="6"/>
    </row>
    <row r="22" spans="2:16">
      <c r="B22">
        <f t="shared" si="6"/>
        <v>18</v>
      </c>
      <c r="C22">
        <v>0</v>
      </c>
      <c r="D22" s="1">
        <f t="shared" si="5"/>
        <v>12899.450879999999</v>
      </c>
      <c r="E22">
        <v>1.2</v>
      </c>
      <c r="F22">
        <v>1</v>
      </c>
      <c r="G22" s="5">
        <f t="shared" si="0"/>
        <v>2</v>
      </c>
      <c r="H22" s="5">
        <v>0.94</v>
      </c>
      <c r="I22" s="5">
        <v>1.89</v>
      </c>
      <c r="J22" s="5">
        <v>3.54</v>
      </c>
      <c r="K22" s="5">
        <f t="shared" si="1"/>
        <v>0.33333333333333331</v>
      </c>
      <c r="L22" s="5">
        <f t="shared" si="2"/>
        <v>0.25</v>
      </c>
      <c r="M22" s="5">
        <f t="shared" si="3"/>
        <v>8.9533333333333331</v>
      </c>
      <c r="N22" s="1">
        <f t="shared" si="4"/>
        <v>24.01238064035741</v>
      </c>
      <c r="O22" s="6"/>
      <c r="P22" s="6"/>
    </row>
    <row r="23" spans="2:16">
      <c r="B23">
        <f t="shared" si="6"/>
        <v>19</v>
      </c>
      <c r="C23">
        <v>0</v>
      </c>
      <c r="D23" s="1">
        <f t="shared" si="5"/>
        <v>15479.341055999997</v>
      </c>
      <c r="E23">
        <v>1.2</v>
      </c>
      <c r="F23">
        <v>1</v>
      </c>
      <c r="G23" s="5">
        <f t="shared" si="0"/>
        <v>2</v>
      </c>
      <c r="H23" s="5">
        <v>0.94</v>
      </c>
      <c r="I23" s="5">
        <v>1.89</v>
      </c>
      <c r="J23" s="5">
        <v>3.54</v>
      </c>
      <c r="K23" s="5">
        <f t="shared" si="1"/>
        <v>0.33333333333333331</v>
      </c>
      <c r="L23" s="5">
        <f t="shared" si="2"/>
        <v>0.25</v>
      </c>
      <c r="M23" s="5">
        <f t="shared" si="3"/>
        <v>8.9533333333333331</v>
      </c>
      <c r="N23" s="1">
        <f t="shared" si="4"/>
        <v>28.814856768428889</v>
      </c>
      <c r="O23" s="6"/>
      <c r="P23" s="6"/>
    </row>
    <row r="24" spans="2:16">
      <c r="B24">
        <f t="shared" si="6"/>
        <v>20</v>
      </c>
      <c r="C24">
        <v>0</v>
      </c>
      <c r="D24" s="1">
        <f t="shared" si="5"/>
        <v>18575.209267199996</v>
      </c>
      <c r="E24">
        <v>1.2</v>
      </c>
      <c r="F24">
        <v>1</v>
      </c>
      <c r="G24" s="5">
        <f t="shared" si="0"/>
        <v>2</v>
      </c>
      <c r="H24" s="5">
        <v>0.94</v>
      </c>
      <c r="I24" s="5">
        <v>1.89</v>
      </c>
      <c r="J24" s="5">
        <v>3.54</v>
      </c>
      <c r="K24" s="5">
        <f t="shared" si="1"/>
        <v>0.33333333333333331</v>
      </c>
      <c r="L24" s="5">
        <f t="shared" si="2"/>
        <v>0.25</v>
      </c>
      <c r="M24" s="5">
        <f t="shared" si="3"/>
        <v>8.9533333333333331</v>
      </c>
      <c r="N24" s="1">
        <f t="shared" si="4"/>
        <v>34.57782812211466</v>
      </c>
      <c r="O24" s="6">
        <f>SUM(N24/60)</f>
        <v>0.57629713536857763</v>
      </c>
      <c r="P24" s="6">
        <f>SUM(O24/24)</f>
        <v>2.4012380640357402E-2</v>
      </c>
    </row>
    <row r="25" spans="2:16">
      <c r="B25">
        <f t="shared" si="6"/>
        <v>21</v>
      </c>
      <c r="C25">
        <v>0</v>
      </c>
      <c r="D25" s="1">
        <f t="shared" si="5"/>
        <v>22290.251120639994</v>
      </c>
      <c r="E25">
        <v>1.2</v>
      </c>
      <c r="F25">
        <v>1</v>
      </c>
      <c r="G25" s="5">
        <f t="shared" si="0"/>
        <v>2</v>
      </c>
      <c r="H25" s="5">
        <v>0.94</v>
      </c>
      <c r="I25" s="5">
        <v>1.89</v>
      </c>
      <c r="J25" s="5">
        <v>3.54</v>
      </c>
      <c r="K25" s="5">
        <f t="shared" si="1"/>
        <v>0.33333333333333331</v>
      </c>
      <c r="L25" s="5">
        <f t="shared" si="2"/>
        <v>0.25</v>
      </c>
      <c r="M25" s="5">
        <f t="shared" si="3"/>
        <v>8.9533333333333331</v>
      </c>
      <c r="N25" s="1">
        <f t="shared" si="4"/>
        <v>41.493393746537592</v>
      </c>
      <c r="O25" s="6"/>
      <c r="P25" s="6"/>
    </row>
    <row r="26" spans="2:16">
      <c r="B26">
        <f t="shared" si="6"/>
        <v>22</v>
      </c>
      <c r="C26">
        <v>0</v>
      </c>
      <c r="D26" s="1">
        <f t="shared" si="5"/>
        <v>26748.301344767991</v>
      </c>
      <c r="E26">
        <v>1.2</v>
      </c>
      <c r="F26">
        <v>1</v>
      </c>
      <c r="G26" s="5">
        <f t="shared" si="0"/>
        <v>2</v>
      </c>
      <c r="H26" s="5">
        <v>0.94</v>
      </c>
      <c r="I26" s="5">
        <v>1.89</v>
      </c>
      <c r="J26" s="5">
        <v>3.54</v>
      </c>
      <c r="K26" s="5">
        <f t="shared" si="1"/>
        <v>0.33333333333333331</v>
      </c>
      <c r="L26" s="5">
        <f t="shared" si="2"/>
        <v>0.25</v>
      </c>
      <c r="M26" s="5">
        <f t="shared" si="3"/>
        <v>8.9533333333333331</v>
      </c>
      <c r="N26" s="1">
        <f t="shared" si="4"/>
        <v>49.792072495845105</v>
      </c>
      <c r="O26" s="6"/>
      <c r="P26" s="6"/>
    </row>
    <row r="27" spans="2:16">
      <c r="B27">
        <f t="shared" si="6"/>
        <v>23</v>
      </c>
      <c r="C27">
        <v>0</v>
      </c>
      <c r="D27" s="1">
        <f t="shared" si="5"/>
        <v>32097.961613721589</v>
      </c>
      <c r="E27">
        <v>1.2</v>
      </c>
      <c r="F27">
        <v>1</v>
      </c>
      <c r="G27" s="5">
        <f t="shared" si="0"/>
        <v>2</v>
      </c>
      <c r="H27" s="5">
        <v>0.94</v>
      </c>
      <c r="I27" s="5">
        <v>1.89</v>
      </c>
      <c r="J27" s="5">
        <v>3.54</v>
      </c>
      <c r="K27" s="5">
        <f t="shared" si="1"/>
        <v>0.33333333333333331</v>
      </c>
      <c r="L27" s="5">
        <f t="shared" si="2"/>
        <v>0.25</v>
      </c>
      <c r="M27" s="5">
        <f t="shared" si="3"/>
        <v>8.9533333333333331</v>
      </c>
      <c r="N27" s="1">
        <f t="shared" si="4"/>
        <v>59.750486995014128</v>
      </c>
      <c r="O27" s="6"/>
      <c r="P27" s="6"/>
    </row>
    <row r="28" spans="2:16">
      <c r="B28">
        <f t="shared" si="6"/>
        <v>24</v>
      </c>
      <c r="C28">
        <v>0</v>
      </c>
      <c r="D28" s="1">
        <f t="shared" si="5"/>
        <v>38517.553936465905</v>
      </c>
      <c r="E28">
        <v>1.2</v>
      </c>
      <c r="F28">
        <v>1</v>
      </c>
      <c r="G28" s="5">
        <f t="shared" si="0"/>
        <v>2</v>
      </c>
      <c r="H28" s="5">
        <v>0.94</v>
      </c>
      <c r="I28" s="5">
        <v>1.89</v>
      </c>
      <c r="J28" s="5">
        <v>3.54</v>
      </c>
      <c r="K28" s="5">
        <f t="shared" si="1"/>
        <v>0.33333333333333331</v>
      </c>
      <c r="L28" s="5">
        <f t="shared" si="2"/>
        <v>0.25</v>
      </c>
      <c r="M28" s="5">
        <f t="shared" si="3"/>
        <v>8.9533333333333331</v>
      </c>
      <c r="N28" s="1">
        <f t="shared" si="4"/>
        <v>71.700584394016943</v>
      </c>
      <c r="O28" s="6"/>
      <c r="P28" s="6"/>
    </row>
    <row r="29" spans="2:16">
      <c r="B29">
        <f t="shared" si="6"/>
        <v>25</v>
      </c>
      <c r="C29">
        <v>0</v>
      </c>
      <c r="D29" s="1">
        <f t="shared" si="5"/>
        <v>46221.064723759082</v>
      </c>
      <c r="E29">
        <v>1.2</v>
      </c>
      <c r="F29">
        <v>1</v>
      </c>
      <c r="G29" s="5">
        <f t="shared" si="0"/>
        <v>2</v>
      </c>
      <c r="H29" s="5">
        <v>0.94</v>
      </c>
      <c r="I29" s="5">
        <v>1.89</v>
      </c>
      <c r="J29" s="5">
        <v>3.54</v>
      </c>
      <c r="K29" s="5">
        <f t="shared" si="1"/>
        <v>0.33333333333333331</v>
      </c>
      <c r="L29" s="5">
        <f t="shared" si="2"/>
        <v>0.25</v>
      </c>
      <c r="M29" s="5">
        <f t="shared" si="3"/>
        <v>8.9533333333333331</v>
      </c>
      <c r="N29" s="1">
        <f t="shared" si="4"/>
        <v>86.040701272820328</v>
      </c>
      <c r="O29" s="6"/>
      <c r="P29" s="6"/>
    </row>
    <row r="30" spans="2:16">
      <c r="B30">
        <f t="shared" si="6"/>
        <v>26</v>
      </c>
      <c r="C30">
        <v>0</v>
      </c>
      <c r="D30" s="1">
        <f t="shared" si="5"/>
        <v>55465.277668510898</v>
      </c>
      <c r="E30">
        <v>1.2</v>
      </c>
      <c r="F30">
        <v>1</v>
      </c>
      <c r="G30" s="5">
        <f t="shared" si="0"/>
        <v>2</v>
      </c>
      <c r="H30" s="5">
        <v>0.94</v>
      </c>
      <c r="I30" s="5">
        <v>1.89</v>
      </c>
      <c r="J30" s="5">
        <v>3.54</v>
      </c>
      <c r="K30" s="5">
        <f t="shared" si="1"/>
        <v>0.33333333333333331</v>
      </c>
      <c r="L30" s="5">
        <f t="shared" si="2"/>
        <v>0.25</v>
      </c>
      <c r="M30" s="5">
        <f t="shared" si="3"/>
        <v>8.9533333333333331</v>
      </c>
      <c r="N30" s="1">
        <f t="shared" si="4"/>
        <v>103.2488415273844</v>
      </c>
      <c r="O30" s="6"/>
      <c r="P30" s="6"/>
    </row>
    <row r="31" spans="2:16">
      <c r="B31">
        <f t="shared" si="6"/>
        <v>27</v>
      </c>
      <c r="C31">
        <v>0</v>
      </c>
      <c r="D31" s="1">
        <f t="shared" si="5"/>
        <v>66558.333202213078</v>
      </c>
      <c r="E31">
        <v>1.2</v>
      </c>
      <c r="F31">
        <v>1</v>
      </c>
      <c r="G31" s="5">
        <f t="shared" si="0"/>
        <v>2</v>
      </c>
      <c r="H31" s="5">
        <v>0.94</v>
      </c>
      <c r="I31" s="5">
        <v>1.89</v>
      </c>
      <c r="J31" s="5">
        <v>3.54</v>
      </c>
      <c r="K31" s="5">
        <f t="shared" si="1"/>
        <v>0.33333333333333331</v>
      </c>
      <c r="L31" s="5">
        <f t="shared" si="2"/>
        <v>0.25</v>
      </c>
      <c r="M31" s="5">
        <f t="shared" si="3"/>
        <v>8.9533333333333331</v>
      </c>
      <c r="N31" s="1">
        <f t="shared" si="4"/>
        <v>123.89860983286127</v>
      </c>
      <c r="O31" s="6"/>
      <c r="P31" s="6"/>
    </row>
    <row r="32" spans="2:16">
      <c r="B32">
        <f t="shared" si="6"/>
        <v>28</v>
      </c>
      <c r="C32">
        <v>0</v>
      </c>
      <c r="D32" s="1">
        <f t="shared" si="5"/>
        <v>79869.999842655685</v>
      </c>
      <c r="E32">
        <v>1.2</v>
      </c>
      <c r="F32">
        <v>1</v>
      </c>
      <c r="G32" s="5">
        <f t="shared" si="0"/>
        <v>2</v>
      </c>
      <c r="H32" s="5">
        <v>0.94</v>
      </c>
      <c r="I32" s="5">
        <v>1.89</v>
      </c>
      <c r="J32" s="5">
        <v>3.54</v>
      </c>
      <c r="K32" s="5">
        <f t="shared" si="1"/>
        <v>0.33333333333333331</v>
      </c>
      <c r="L32" s="5">
        <f t="shared" si="2"/>
        <v>0.25</v>
      </c>
      <c r="M32" s="5">
        <f t="shared" si="3"/>
        <v>8.9533333333333331</v>
      </c>
      <c r="N32" s="1">
        <f t="shared" si="4"/>
        <v>148.67833179943352</v>
      </c>
      <c r="O32" s="6"/>
      <c r="P32" s="6"/>
    </row>
    <row r="33" spans="2:16">
      <c r="B33">
        <f t="shared" si="6"/>
        <v>29</v>
      </c>
      <c r="C33">
        <v>0</v>
      </c>
      <c r="D33" s="1">
        <f t="shared" si="5"/>
        <v>95843.999811186819</v>
      </c>
      <c r="E33">
        <v>1.2</v>
      </c>
      <c r="F33">
        <v>1</v>
      </c>
      <c r="G33" s="5">
        <f t="shared" si="0"/>
        <v>2</v>
      </c>
      <c r="H33" s="5">
        <v>0.94</v>
      </c>
      <c r="I33" s="5">
        <v>1.89</v>
      </c>
      <c r="J33" s="5">
        <v>3.54</v>
      </c>
      <c r="K33" s="5">
        <f t="shared" si="1"/>
        <v>0.33333333333333331</v>
      </c>
      <c r="L33" s="5">
        <f t="shared" si="2"/>
        <v>0.25</v>
      </c>
      <c r="M33" s="5">
        <f t="shared" si="3"/>
        <v>8.9533333333333331</v>
      </c>
      <c r="N33" s="1">
        <f t="shared" si="4"/>
        <v>178.41399815932022</v>
      </c>
      <c r="O33" s="6"/>
      <c r="P33" s="6"/>
    </row>
    <row r="34" spans="2:16">
      <c r="B34">
        <f t="shared" si="6"/>
        <v>30</v>
      </c>
      <c r="C34">
        <v>0</v>
      </c>
      <c r="D34" s="1">
        <f t="shared" si="5"/>
        <v>115012.79977342418</v>
      </c>
      <c r="E34">
        <v>1.2</v>
      </c>
      <c r="F34">
        <v>1</v>
      </c>
      <c r="G34" s="5">
        <f t="shared" si="0"/>
        <v>2</v>
      </c>
      <c r="H34" s="5">
        <v>0.94</v>
      </c>
      <c r="I34" s="5">
        <v>1.89</v>
      </c>
      <c r="J34" s="5">
        <v>3.54</v>
      </c>
      <c r="K34" s="5">
        <f t="shared" si="1"/>
        <v>0.33333333333333331</v>
      </c>
      <c r="L34" s="5">
        <f t="shared" si="2"/>
        <v>0.25</v>
      </c>
      <c r="M34" s="5">
        <f t="shared" si="3"/>
        <v>8.9533333333333331</v>
      </c>
      <c r="N34" s="1">
        <f t="shared" si="4"/>
        <v>214.09679779118426</v>
      </c>
      <c r="O34" s="6">
        <f>SUM(N34/60)</f>
        <v>3.5682799631864044</v>
      </c>
      <c r="P34" s="6">
        <f>SUM(O34/24)</f>
        <v>0.14867833179943352</v>
      </c>
    </row>
    <row r="35" spans="2:16">
      <c r="B35">
        <f t="shared" si="6"/>
        <v>31</v>
      </c>
      <c r="C35">
        <v>0</v>
      </c>
      <c r="D35" s="1">
        <f t="shared" si="5"/>
        <v>138015.359728109</v>
      </c>
      <c r="E35">
        <v>1.2</v>
      </c>
      <c r="F35">
        <v>1</v>
      </c>
      <c r="G35" s="5">
        <f t="shared" si="0"/>
        <v>2</v>
      </c>
      <c r="H35" s="5">
        <v>0.94</v>
      </c>
      <c r="I35" s="5">
        <v>1.89</v>
      </c>
      <c r="J35" s="5">
        <v>3.54</v>
      </c>
      <c r="K35" s="5">
        <f t="shared" si="1"/>
        <v>0.33333333333333331</v>
      </c>
      <c r="L35" s="5">
        <f t="shared" si="2"/>
        <v>0.25</v>
      </c>
      <c r="M35" s="5">
        <f t="shared" si="3"/>
        <v>8.9533333333333331</v>
      </c>
      <c r="N35" s="1">
        <f t="shared" si="4"/>
        <v>256.9161573494211</v>
      </c>
      <c r="O35" s="6"/>
      <c r="P35" s="6"/>
    </row>
    <row r="36" spans="2:16">
      <c r="B36">
        <f t="shared" si="6"/>
        <v>32</v>
      </c>
      <c r="C36">
        <v>0</v>
      </c>
      <c r="D36" s="1">
        <f t="shared" si="5"/>
        <v>165618.43167373081</v>
      </c>
      <c r="E36">
        <v>1.2</v>
      </c>
      <c r="F36">
        <v>1</v>
      </c>
      <c r="G36" s="5">
        <f t="shared" si="0"/>
        <v>2</v>
      </c>
      <c r="H36" s="5">
        <v>0.94</v>
      </c>
      <c r="I36" s="5">
        <v>1.89</v>
      </c>
      <c r="J36" s="5">
        <v>3.54</v>
      </c>
      <c r="K36" s="5">
        <f t="shared" si="1"/>
        <v>0.33333333333333331</v>
      </c>
      <c r="L36" s="5">
        <f t="shared" si="2"/>
        <v>0.25</v>
      </c>
      <c r="M36" s="5">
        <f t="shared" si="3"/>
        <v>8.9533333333333331</v>
      </c>
      <c r="N36" s="1">
        <f t="shared" si="4"/>
        <v>308.29938881930531</v>
      </c>
      <c r="O36" s="6"/>
      <c r="P36" s="6"/>
    </row>
    <row r="37" spans="2:16">
      <c r="B37">
        <f t="shared" si="6"/>
        <v>33</v>
      </c>
      <c r="C37">
        <v>0</v>
      </c>
      <c r="D37" s="1">
        <f t="shared" si="5"/>
        <v>198742.11800847697</v>
      </c>
      <c r="E37">
        <v>1.2</v>
      </c>
      <c r="F37">
        <v>1</v>
      </c>
      <c r="G37" s="5">
        <f t="shared" si="0"/>
        <v>2</v>
      </c>
      <c r="H37" s="5">
        <v>0.94</v>
      </c>
      <c r="I37" s="5">
        <v>1.89</v>
      </c>
      <c r="J37" s="5">
        <v>3.54</v>
      </c>
      <c r="K37" s="5">
        <f t="shared" si="1"/>
        <v>0.33333333333333331</v>
      </c>
      <c r="L37" s="5">
        <f t="shared" si="2"/>
        <v>0.25</v>
      </c>
      <c r="M37" s="5">
        <f t="shared" si="3"/>
        <v>8.9533333333333331</v>
      </c>
      <c r="N37" s="1">
        <f t="shared" si="4"/>
        <v>369.95926658316637</v>
      </c>
      <c r="O37" s="6"/>
      <c r="P37" s="6"/>
    </row>
    <row r="38" spans="2:16">
      <c r="B38">
        <f t="shared" si="6"/>
        <v>34</v>
      </c>
      <c r="C38">
        <v>0</v>
      </c>
      <c r="D38" s="1">
        <f t="shared" si="5"/>
        <v>238490.54161017237</v>
      </c>
      <c r="E38">
        <v>1.2</v>
      </c>
      <c r="F38">
        <v>1</v>
      </c>
      <c r="G38" s="5">
        <f t="shared" si="0"/>
        <v>2</v>
      </c>
      <c r="H38" s="5">
        <v>0.94</v>
      </c>
      <c r="I38" s="5">
        <v>1.89</v>
      </c>
      <c r="J38" s="5">
        <v>3.54</v>
      </c>
      <c r="K38" s="5">
        <f t="shared" si="1"/>
        <v>0.33333333333333331</v>
      </c>
      <c r="L38" s="5">
        <f t="shared" si="2"/>
        <v>0.25</v>
      </c>
      <c r="M38" s="5">
        <f t="shared" si="3"/>
        <v>8.9533333333333331</v>
      </c>
      <c r="N38" s="1">
        <f t="shared" si="4"/>
        <v>443.95111989979966</v>
      </c>
      <c r="O38" s="6"/>
      <c r="P38" s="6"/>
    </row>
    <row r="39" spans="2:16">
      <c r="B39">
        <f t="shared" si="6"/>
        <v>35</v>
      </c>
      <c r="C39">
        <v>0</v>
      </c>
      <c r="D39" s="1">
        <f t="shared" si="5"/>
        <v>286188.64993220684</v>
      </c>
      <c r="E39">
        <v>1.2</v>
      </c>
      <c r="F39">
        <v>1</v>
      </c>
      <c r="G39" s="5">
        <f t="shared" si="0"/>
        <v>2</v>
      </c>
      <c r="H39" s="5">
        <v>0.94</v>
      </c>
      <c r="I39" s="5">
        <v>1.89</v>
      </c>
      <c r="J39" s="5">
        <v>3.54</v>
      </c>
      <c r="K39" s="5">
        <f t="shared" si="1"/>
        <v>0.33333333333333331</v>
      </c>
      <c r="L39" s="5">
        <f t="shared" si="2"/>
        <v>0.25</v>
      </c>
      <c r="M39" s="5">
        <f t="shared" si="3"/>
        <v>8.9533333333333331</v>
      </c>
      <c r="N39" s="1">
        <f t="shared" si="4"/>
        <v>532.7413438797596</v>
      </c>
      <c r="O39" s="6"/>
      <c r="P39" s="6"/>
    </row>
    <row r="40" spans="2:16">
      <c r="B40">
        <f t="shared" si="6"/>
        <v>36</v>
      </c>
      <c r="C40">
        <v>0</v>
      </c>
      <c r="D40" s="1">
        <f t="shared" si="5"/>
        <v>343426.37991864822</v>
      </c>
      <c r="E40">
        <v>1.2</v>
      </c>
      <c r="F40">
        <v>1</v>
      </c>
      <c r="G40" s="5">
        <f t="shared" si="0"/>
        <v>2</v>
      </c>
      <c r="H40" s="5">
        <v>0.94</v>
      </c>
      <c r="I40" s="5">
        <v>1.89</v>
      </c>
      <c r="J40" s="5">
        <v>3.54</v>
      </c>
      <c r="K40" s="5">
        <f t="shared" si="1"/>
        <v>0.33333333333333331</v>
      </c>
      <c r="L40" s="5">
        <f t="shared" si="2"/>
        <v>0.25</v>
      </c>
      <c r="M40" s="5">
        <f t="shared" si="3"/>
        <v>8.9533333333333331</v>
      </c>
      <c r="N40" s="1">
        <f t="shared" si="4"/>
        <v>639.28961265571149</v>
      </c>
      <c r="O40" s="6"/>
      <c r="P40" s="6"/>
    </row>
    <row r="41" spans="2:16">
      <c r="B41">
        <f t="shared" si="6"/>
        <v>37</v>
      </c>
      <c r="C41">
        <v>0</v>
      </c>
      <c r="D41" s="1">
        <f t="shared" si="5"/>
        <v>412111.65590237785</v>
      </c>
      <c r="E41">
        <v>1.2</v>
      </c>
      <c r="F41">
        <v>1</v>
      </c>
      <c r="G41" s="5">
        <f t="shared" si="0"/>
        <v>2</v>
      </c>
      <c r="H41" s="5">
        <v>0.94</v>
      </c>
      <c r="I41" s="5">
        <v>1.89</v>
      </c>
      <c r="J41" s="5">
        <v>3.54</v>
      </c>
      <c r="K41" s="5">
        <f t="shared" si="1"/>
        <v>0.33333333333333331</v>
      </c>
      <c r="L41" s="5">
        <f t="shared" si="2"/>
        <v>0.25</v>
      </c>
      <c r="M41" s="5">
        <f t="shared" si="3"/>
        <v>8.9533333333333331</v>
      </c>
      <c r="N41" s="1">
        <f t="shared" si="4"/>
        <v>767.14753518685382</v>
      </c>
      <c r="O41" s="6"/>
      <c r="P41" s="6"/>
    </row>
    <row r="42" spans="2:16">
      <c r="B42">
        <f t="shared" si="6"/>
        <v>38</v>
      </c>
      <c r="C42">
        <v>0</v>
      </c>
      <c r="D42" s="1">
        <f t="shared" si="5"/>
        <v>494533.98708285339</v>
      </c>
      <c r="E42">
        <v>1.2</v>
      </c>
      <c r="F42">
        <v>1</v>
      </c>
      <c r="G42" s="5">
        <f t="shared" si="0"/>
        <v>2</v>
      </c>
      <c r="H42" s="5">
        <v>0.94</v>
      </c>
      <c r="I42" s="5">
        <v>1.89</v>
      </c>
      <c r="J42" s="5">
        <v>3.54</v>
      </c>
      <c r="K42" s="5">
        <f t="shared" si="1"/>
        <v>0.33333333333333331</v>
      </c>
      <c r="L42" s="5">
        <f t="shared" si="2"/>
        <v>0.25</v>
      </c>
      <c r="M42" s="5">
        <f t="shared" si="3"/>
        <v>8.9533333333333331</v>
      </c>
      <c r="N42" s="1">
        <f t="shared" si="4"/>
        <v>920.57704222422444</v>
      </c>
      <c r="O42" s="6"/>
      <c r="P42" s="6"/>
    </row>
    <row r="43" spans="2:16">
      <c r="B43">
        <f t="shared" si="6"/>
        <v>39</v>
      </c>
      <c r="C43">
        <v>0</v>
      </c>
      <c r="D43" s="1">
        <f t="shared" si="5"/>
        <v>593440.78449942404</v>
      </c>
      <c r="E43">
        <v>1.2</v>
      </c>
      <c r="F43">
        <v>1</v>
      </c>
      <c r="G43" s="5">
        <f t="shared" si="0"/>
        <v>2</v>
      </c>
      <c r="H43" s="5">
        <v>0.94</v>
      </c>
      <c r="I43" s="5">
        <v>1.89</v>
      </c>
      <c r="J43" s="5">
        <v>3.54</v>
      </c>
      <c r="K43" s="5">
        <f t="shared" si="1"/>
        <v>0.33333333333333331</v>
      </c>
      <c r="L43" s="5">
        <f t="shared" si="2"/>
        <v>0.25</v>
      </c>
      <c r="M43" s="5">
        <f t="shared" si="3"/>
        <v>8.9533333333333331</v>
      </c>
      <c r="N43" s="1">
        <f t="shared" si="4"/>
        <v>1104.6924506690693</v>
      </c>
      <c r="O43" s="6"/>
      <c r="P43" s="6"/>
    </row>
    <row r="44" spans="2:16">
      <c r="B44">
        <f t="shared" si="6"/>
        <v>40</v>
      </c>
      <c r="C44">
        <v>0</v>
      </c>
      <c r="D44" s="1">
        <f t="shared" si="5"/>
        <v>712128.94139930885</v>
      </c>
      <c r="E44">
        <v>1.2</v>
      </c>
      <c r="F44">
        <v>1</v>
      </c>
      <c r="G44" s="5">
        <f t="shared" si="0"/>
        <v>2</v>
      </c>
      <c r="H44" s="5">
        <v>0.94</v>
      </c>
      <c r="I44" s="5">
        <v>1.89</v>
      </c>
      <c r="J44" s="5">
        <v>3.54</v>
      </c>
      <c r="K44" s="5">
        <f t="shared" si="1"/>
        <v>0.33333333333333331</v>
      </c>
      <c r="L44" s="5">
        <f t="shared" si="2"/>
        <v>0.25</v>
      </c>
      <c r="M44" s="5">
        <f t="shared" si="3"/>
        <v>8.9533333333333331</v>
      </c>
      <c r="N44" s="1">
        <f t="shared" si="4"/>
        <v>1325.6309408028833</v>
      </c>
      <c r="O44" s="6">
        <f>SUM(N44/60)</f>
        <v>22.093849013381387</v>
      </c>
      <c r="P44" s="6">
        <f>SUM(O44/24)</f>
        <v>0.92057704222422443</v>
      </c>
    </row>
    <row r="45" spans="2:16">
      <c r="B45">
        <f t="shared" si="6"/>
        <v>41</v>
      </c>
      <c r="C45">
        <v>0</v>
      </c>
      <c r="D45" s="1">
        <f t="shared" si="5"/>
        <v>783341.83553923981</v>
      </c>
      <c r="E45">
        <v>1.1000000000000001</v>
      </c>
      <c r="F45">
        <v>1</v>
      </c>
      <c r="G45" s="5">
        <f t="shared" si="0"/>
        <v>2</v>
      </c>
      <c r="H45" s="5">
        <v>0.94</v>
      </c>
      <c r="I45" s="5">
        <v>1.89</v>
      </c>
      <c r="J45" s="5">
        <v>3.54</v>
      </c>
      <c r="K45" s="5">
        <f t="shared" si="1"/>
        <v>0.33333333333333331</v>
      </c>
      <c r="L45" s="5">
        <f t="shared" si="2"/>
        <v>0.25</v>
      </c>
      <c r="M45" s="5">
        <f t="shared" si="3"/>
        <v>8.9533333333333331</v>
      </c>
      <c r="N45" s="1">
        <f t="shared" si="4"/>
        <v>1458.1940348831715</v>
      </c>
      <c r="O45" s="6"/>
      <c r="P45" s="6"/>
    </row>
    <row r="46" spans="2:16">
      <c r="B46">
        <f t="shared" si="6"/>
        <v>42</v>
      </c>
      <c r="C46">
        <v>0</v>
      </c>
      <c r="D46" s="1">
        <f t="shared" si="5"/>
        <v>861676.01909316389</v>
      </c>
      <c r="E46">
        <v>1.1000000000000001</v>
      </c>
      <c r="F46">
        <v>1</v>
      </c>
      <c r="G46" s="5">
        <f t="shared" si="0"/>
        <v>2</v>
      </c>
      <c r="H46" s="5">
        <v>0.94</v>
      </c>
      <c r="I46" s="5">
        <v>1.89</v>
      </c>
      <c r="J46" s="5">
        <v>3.54</v>
      </c>
      <c r="K46" s="5">
        <f t="shared" si="1"/>
        <v>0.33333333333333331</v>
      </c>
      <c r="L46" s="5">
        <f t="shared" si="2"/>
        <v>0.25</v>
      </c>
      <c r="M46" s="5">
        <f t="shared" si="3"/>
        <v>8.9533333333333331</v>
      </c>
      <c r="N46" s="1">
        <f t="shared" si="4"/>
        <v>1604.0134383714892</v>
      </c>
      <c r="O46" s="6"/>
      <c r="P46" s="6"/>
    </row>
    <row r="47" spans="2:16">
      <c r="B47">
        <f t="shared" si="6"/>
        <v>43</v>
      </c>
      <c r="C47">
        <v>0</v>
      </c>
      <c r="D47" s="1">
        <f t="shared" si="5"/>
        <v>947843.62100248039</v>
      </c>
      <c r="E47">
        <v>1.1000000000000001</v>
      </c>
      <c r="F47">
        <v>1</v>
      </c>
      <c r="G47" s="5">
        <f t="shared" si="0"/>
        <v>2</v>
      </c>
      <c r="H47" s="5">
        <v>0.94</v>
      </c>
      <c r="I47" s="5">
        <v>1.89</v>
      </c>
      <c r="J47" s="5">
        <v>3.54</v>
      </c>
      <c r="K47" s="5">
        <f t="shared" si="1"/>
        <v>0.33333333333333331</v>
      </c>
      <c r="L47" s="5">
        <f t="shared" si="2"/>
        <v>0.25</v>
      </c>
      <c r="M47" s="5">
        <f t="shared" si="3"/>
        <v>8.9533333333333331</v>
      </c>
      <c r="N47" s="1">
        <f t="shared" si="4"/>
        <v>1764.4147822086381</v>
      </c>
      <c r="O47" s="6"/>
      <c r="P47" s="6"/>
    </row>
    <row r="48" spans="2:16">
      <c r="B48">
        <f t="shared" si="6"/>
        <v>44</v>
      </c>
      <c r="C48">
        <v>0</v>
      </c>
      <c r="D48" s="1">
        <f t="shared" si="5"/>
        <v>1042627.9831027285</v>
      </c>
      <c r="E48">
        <v>1.1000000000000001</v>
      </c>
      <c r="F48">
        <v>1</v>
      </c>
      <c r="G48" s="5">
        <f t="shared" si="0"/>
        <v>2</v>
      </c>
      <c r="H48" s="5">
        <v>0.94</v>
      </c>
      <c r="I48" s="5">
        <v>1.89</v>
      </c>
      <c r="J48" s="5">
        <v>3.54</v>
      </c>
      <c r="K48" s="5">
        <f t="shared" si="1"/>
        <v>0.33333333333333331</v>
      </c>
      <c r="L48" s="5">
        <f t="shared" si="2"/>
        <v>0.25</v>
      </c>
      <c r="M48" s="5">
        <f t="shared" si="3"/>
        <v>8.9533333333333331</v>
      </c>
      <c r="N48" s="1">
        <f t="shared" si="4"/>
        <v>1940.8562604295023</v>
      </c>
      <c r="O48" s="6"/>
      <c r="P48" s="6"/>
    </row>
    <row r="49" spans="2:16">
      <c r="B49">
        <f t="shared" si="6"/>
        <v>45</v>
      </c>
      <c r="C49">
        <v>0</v>
      </c>
      <c r="D49" s="1">
        <f t="shared" si="5"/>
        <v>1146890.7814130015</v>
      </c>
      <c r="E49">
        <v>1.1000000000000001</v>
      </c>
      <c r="F49">
        <v>1</v>
      </c>
      <c r="G49" s="5">
        <f t="shared" si="0"/>
        <v>2</v>
      </c>
      <c r="H49" s="5">
        <v>0.94</v>
      </c>
      <c r="I49" s="5">
        <v>1.89</v>
      </c>
      <c r="J49" s="5">
        <v>3.54</v>
      </c>
      <c r="K49" s="5">
        <f t="shared" si="1"/>
        <v>0.33333333333333331</v>
      </c>
      <c r="L49" s="5">
        <f t="shared" si="2"/>
        <v>0.25</v>
      </c>
      <c r="M49" s="5">
        <f t="shared" si="3"/>
        <v>8.9533333333333331</v>
      </c>
      <c r="N49" s="1">
        <f t="shared" si="4"/>
        <v>2134.9418864724526</v>
      </c>
      <c r="O49" s="6"/>
      <c r="P49" s="6"/>
    </row>
    <row r="50" spans="2:16">
      <c r="B50">
        <f t="shared" si="6"/>
        <v>46</v>
      </c>
      <c r="C50">
        <v>0</v>
      </c>
      <c r="D50" s="1">
        <f t="shared" si="5"/>
        <v>1261579.8595543017</v>
      </c>
      <c r="E50">
        <v>1.1000000000000001</v>
      </c>
      <c r="F50">
        <v>1</v>
      </c>
      <c r="G50" s="5">
        <f t="shared" si="0"/>
        <v>2</v>
      </c>
      <c r="H50" s="5">
        <v>0.94</v>
      </c>
      <c r="I50" s="5">
        <v>1.89</v>
      </c>
      <c r="J50" s="5">
        <v>3.54</v>
      </c>
      <c r="K50" s="5">
        <f t="shared" si="1"/>
        <v>0.33333333333333331</v>
      </c>
      <c r="L50" s="5">
        <f t="shared" si="2"/>
        <v>0.25</v>
      </c>
      <c r="M50" s="5">
        <f t="shared" si="3"/>
        <v>8.9533333333333331</v>
      </c>
      <c r="N50" s="1">
        <f t="shared" si="4"/>
        <v>2348.4360751196978</v>
      </c>
      <c r="O50" s="6"/>
      <c r="P50" s="6"/>
    </row>
    <row r="51" spans="2:16">
      <c r="B51">
        <f t="shared" si="6"/>
        <v>47</v>
      </c>
      <c r="C51">
        <v>0</v>
      </c>
      <c r="D51" s="1">
        <f t="shared" si="5"/>
        <v>1387737.8455097319</v>
      </c>
      <c r="E51">
        <v>1.1000000000000001</v>
      </c>
      <c r="F51">
        <v>1</v>
      </c>
      <c r="G51" s="5">
        <f t="shared" si="0"/>
        <v>2</v>
      </c>
      <c r="H51" s="5">
        <v>0.94</v>
      </c>
      <c r="I51" s="5">
        <v>1.89</v>
      </c>
      <c r="J51" s="5">
        <v>3.54</v>
      </c>
      <c r="K51" s="5">
        <f t="shared" si="1"/>
        <v>0.33333333333333331</v>
      </c>
      <c r="L51" s="5">
        <f t="shared" si="2"/>
        <v>0.25</v>
      </c>
      <c r="M51" s="5">
        <f t="shared" si="3"/>
        <v>8.9533333333333331</v>
      </c>
      <c r="N51" s="1">
        <f t="shared" si="4"/>
        <v>2583.279682631668</v>
      </c>
      <c r="O51" s="6"/>
      <c r="P51" s="6"/>
    </row>
    <row r="52" spans="2:16">
      <c r="B52">
        <f t="shared" si="6"/>
        <v>48</v>
      </c>
      <c r="C52">
        <v>0</v>
      </c>
      <c r="D52" s="1">
        <f t="shared" si="5"/>
        <v>1526511.6300607051</v>
      </c>
      <c r="E52">
        <v>1.1000000000000001</v>
      </c>
      <c r="F52">
        <v>1</v>
      </c>
      <c r="G52" s="5">
        <f t="shared" si="0"/>
        <v>2</v>
      </c>
      <c r="H52" s="5">
        <v>0.94</v>
      </c>
      <c r="I52" s="5">
        <v>1.89</v>
      </c>
      <c r="J52" s="5">
        <v>3.54</v>
      </c>
      <c r="K52" s="5">
        <f t="shared" si="1"/>
        <v>0.33333333333333331</v>
      </c>
      <c r="L52" s="5">
        <f t="shared" si="2"/>
        <v>0.25</v>
      </c>
      <c r="M52" s="5">
        <f t="shared" si="3"/>
        <v>8.9533333333333331</v>
      </c>
      <c r="N52" s="1">
        <f t="shared" si="4"/>
        <v>2841.6076508948345</v>
      </c>
      <c r="O52" s="6"/>
      <c r="P52" s="6"/>
    </row>
    <row r="53" spans="2:16">
      <c r="B53">
        <f t="shared" si="6"/>
        <v>49</v>
      </c>
      <c r="C53">
        <v>0</v>
      </c>
      <c r="D53" s="1">
        <f t="shared" si="5"/>
        <v>1679162.7930667757</v>
      </c>
      <c r="E53">
        <v>1.1000000000000001</v>
      </c>
      <c r="F53">
        <v>1</v>
      </c>
      <c r="G53" s="5">
        <f t="shared" si="0"/>
        <v>2</v>
      </c>
      <c r="H53" s="5">
        <v>0.94</v>
      </c>
      <c r="I53" s="5">
        <v>1.89</v>
      </c>
      <c r="J53" s="5">
        <v>3.54</v>
      </c>
      <c r="K53" s="5">
        <f t="shared" si="1"/>
        <v>0.33333333333333331</v>
      </c>
      <c r="L53" s="5">
        <f t="shared" si="2"/>
        <v>0.25</v>
      </c>
      <c r="M53" s="5">
        <f t="shared" si="3"/>
        <v>8.9533333333333331</v>
      </c>
      <c r="N53" s="1">
        <f t="shared" si="4"/>
        <v>3125.7684159843184</v>
      </c>
      <c r="O53" s="6"/>
      <c r="P53" s="6"/>
    </row>
    <row r="54" spans="2:16">
      <c r="B54">
        <f t="shared" si="6"/>
        <v>50</v>
      </c>
      <c r="C54">
        <v>0</v>
      </c>
      <c r="D54" s="1">
        <f t="shared" si="5"/>
        <v>1847079.0723734533</v>
      </c>
      <c r="E54">
        <v>1.1000000000000001</v>
      </c>
      <c r="F54">
        <v>1</v>
      </c>
      <c r="G54" s="5">
        <f t="shared" si="0"/>
        <v>2</v>
      </c>
      <c r="H54" s="5">
        <v>0.94</v>
      </c>
      <c r="I54" s="5">
        <v>1.89</v>
      </c>
      <c r="J54" s="5">
        <v>3.54</v>
      </c>
      <c r="K54" s="5">
        <f t="shared" si="1"/>
        <v>0.33333333333333331</v>
      </c>
      <c r="L54" s="5">
        <f t="shared" si="2"/>
        <v>0.25</v>
      </c>
      <c r="M54" s="5">
        <f t="shared" si="3"/>
        <v>8.9533333333333331</v>
      </c>
      <c r="N54" s="1">
        <f t="shared" si="4"/>
        <v>3438.34525758275</v>
      </c>
      <c r="O54" s="6">
        <f>SUM(N54/60)</f>
        <v>57.305754293045837</v>
      </c>
      <c r="P54" s="6">
        <f>SUM(O54/24)</f>
        <v>2.3877397622102432</v>
      </c>
    </row>
    <row r="55" spans="2:16">
      <c r="B55">
        <f t="shared" si="6"/>
        <v>51</v>
      </c>
      <c r="C55">
        <v>0</v>
      </c>
      <c r="D55" s="1">
        <f t="shared" si="5"/>
        <v>1939433.025992126</v>
      </c>
      <c r="E55">
        <v>1.05</v>
      </c>
      <c r="F55">
        <v>1</v>
      </c>
      <c r="G55" s="5">
        <f t="shared" si="0"/>
        <v>2</v>
      </c>
      <c r="H55" s="5">
        <v>0.94</v>
      </c>
      <c r="I55" s="5">
        <v>1.89</v>
      </c>
      <c r="J55" s="5">
        <v>3.54</v>
      </c>
      <c r="K55" s="5">
        <f t="shared" si="1"/>
        <v>0.33333333333333331</v>
      </c>
      <c r="L55" s="5">
        <f t="shared" si="2"/>
        <v>0.25</v>
      </c>
      <c r="M55" s="5">
        <f t="shared" si="3"/>
        <v>8.9533333333333331</v>
      </c>
      <c r="N55" s="1">
        <f t="shared" si="4"/>
        <v>3610.2625204618876</v>
      </c>
      <c r="O55" s="6"/>
      <c r="P55" s="6"/>
    </row>
    <row r="56" spans="2:16">
      <c r="B56">
        <f t="shared" si="6"/>
        <v>52</v>
      </c>
      <c r="C56">
        <v>0</v>
      </c>
      <c r="D56" s="1">
        <f t="shared" si="5"/>
        <v>2036404.6772917323</v>
      </c>
      <c r="E56">
        <v>1.05</v>
      </c>
      <c r="F56">
        <v>1</v>
      </c>
      <c r="G56" s="5">
        <f t="shared" si="0"/>
        <v>2</v>
      </c>
      <c r="H56" s="5">
        <v>0.94</v>
      </c>
      <c r="I56" s="5">
        <v>1.89</v>
      </c>
      <c r="J56" s="5">
        <v>3.54</v>
      </c>
      <c r="K56" s="5">
        <f t="shared" si="1"/>
        <v>0.33333333333333331</v>
      </c>
      <c r="L56" s="5">
        <f t="shared" si="2"/>
        <v>0.25</v>
      </c>
      <c r="M56" s="5">
        <f t="shared" si="3"/>
        <v>8.9533333333333331</v>
      </c>
      <c r="N56" s="1">
        <f t="shared" si="4"/>
        <v>3790.7756464849817</v>
      </c>
      <c r="O56" s="6"/>
      <c r="P56" s="6"/>
    </row>
    <row r="57" spans="2:16">
      <c r="B57">
        <f t="shared" si="6"/>
        <v>53</v>
      </c>
      <c r="C57">
        <v>0</v>
      </c>
      <c r="D57" s="1">
        <f t="shared" si="5"/>
        <v>2138224.9111563191</v>
      </c>
      <c r="E57">
        <v>1.05</v>
      </c>
      <c r="F57">
        <v>1</v>
      </c>
      <c r="G57" s="5">
        <f t="shared" si="0"/>
        <v>2</v>
      </c>
      <c r="H57" s="5">
        <v>0.94</v>
      </c>
      <c r="I57" s="5">
        <v>1.89</v>
      </c>
      <c r="J57" s="5">
        <v>3.54</v>
      </c>
      <c r="K57" s="5">
        <f t="shared" si="1"/>
        <v>0.33333333333333331</v>
      </c>
      <c r="L57" s="5">
        <f t="shared" si="2"/>
        <v>0.25</v>
      </c>
      <c r="M57" s="5">
        <f t="shared" si="3"/>
        <v>8.9533333333333331</v>
      </c>
      <c r="N57" s="1">
        <f t="shared" si="4"/>
        <v>3980.3144288092312</v>
      </c>
      <c r="O57" s="6"/>
      <c r="P57" s="6"/>
    </row>
    <row r="58" spans="2:16">
      <c r="B58">
        <f t="shared" si="6"/>
        <v>54</v>
      </c>
      <c r="C58">
        <v>0</v>
      </c>
      <c r="D58" s="1">
        <f t="shared" si="5"/>
        <v>2245136.1567141353</v>
      </c>
      <c r="E58">
        <v>1.05</v>
      </c>
      <c r="F58">
        <v>1</v>
      </c>
      <c r="G58" s="5">
        <f t="shared" si="0"/>
        <v>2</v>
      </c>
      <c r="H58" s="5">
        <v>0.94</v>
      </c>
      <c r="I58" s="5">
        <v>1.89</v>
      </c>
      <c r="J58" s="5">
        <v>3.54</v>
      </c>
      <c r="K58" s="5">
        <f t="shared" si="1"/>
        <v>0.33333333333333331</v>
      </c>
      <c r="L58" s="5">
        <f t="shared" si="2"/>
        <v>0.25</v>
      </c>
      <c r="M58" s="5">
        <f t="shared" si="3"/>
        <v>8.9533333333333331</v>
      </c>
      <c r="N58" s="1">
        <f t="shared" si="4"/>
        <v>4179.3301502496934</v>
      </c>
      <c r="O58" s="6"/>
      <c r="P58" s="6"/>
    </row>
    <row r="59" spans="2:16">
      <c r="B59">
        <f t="shared" si="6"/>
        <v>55</v>
      </c>
      <c r="C59">
        <v>0</v>
      </c>
      <c r="D59" s="1">
        <f t="shared" si="5"/>
        <v>2357392.9645498423</v>
      </c>
      <c r="E59">
        <v>1.05</v>
      </c>
      <c r="F59">
        <v>1</v>
      </c>
      <c r="G59" s="5">
        <f t="shared" si="0"/>
        <v>2</v>
      </c>
      <c r="H59" s="5">
        <v>0.94</v>
      </c>
      <c r="I59" s="5">
        <v>1.89</v>
      </c>
      <c r="J59" s="5">
        <v>3.54</v>
      </c>
      <c r="K59" s="5">
        <f t="shared" si="1"/>
        <v>0.33333333333333331</v>
      </c>
      <c r="L59" s="5">
        <f t="shared" si="2"/>
        <v>0.25</v>
      </c>
      <c r="M59" s="5">
        <f t="shared" si="3"/>
        <v>8.9533333333333331</v>
      </c>
      <c r="N59" s="1">
        <f t="shared" si="4"/>
        <v>4388.2966577621792</v>
      </c>
      <c r="O59" s="6"/>
      <c r="P59" s="6"/>
    </row>
    <row r="60" spans="2:16">
      <c r="B60">
        <f t="shared" si="6"/>
        <v>56</v>
      </c>
      <c r="C60">
        <v>0</v>
      </c>
      <c r="D60" s="1">
        <f t="shared" si="5"/>
        <v>2475262.6127773346</v>
      </c>
      <c r="E60">
        <v>1.05</v>
      </c>
      <c r="F60">
        <v>1</v>
      </c>
      <c r="G60" s="5">
        <f t="shared" si="0"/>
        <v>2</v>
      </c>
      <c r="H60" s="5">
        <v>0.94</v>
      </c>
      <c r="I60" s="5">
        <v>1.89</v>
      </c>
      <c r="J60" s="5">
        <v>3.54</v>
      </c>
      <c r="K60" s="5">
        <f t="shared" si="1"/>
        <v>0.33333333333333331</v>
      </c>
      <c r="L60" s="5">
        <f t="shared" si="2"/>
        <v>0.25</v>
      </c>
      <c r="M60" s="5">
        <f t="shared" si="3"/>
        <v>8.9533333333333331</v>
      </c>
      <c r="N60" s="1">
        <f t="shared" si="4"/>
        <v>4607.7114906502875</v>
      </c>
      <c r="O60" s="6"/>
      <c r="P60" s="6"/>
    </row>
    <row r="61" spans="2:16">
      <c r="B61">
        <f t="shared" si="6"/>
        <v>57</v>
      </c>
      <c r="C61">
        <v>0</v>
      </c>
      <c r="D61" s="1">
        <f t="shared" si="5"/>
        <v>2599025.7434162013</v>
      </c>
      <c r="E61">
        <v>1.05</v>
      </c>
      <c r="F61">
        <v>1</v>
      </c>
      <c r="G61" s="5">
        <f t="shared" si="0"/>
        <v>2</v>
      </c>
      <c r="H61" s="5">
        <v>0.94</v>
      </c>
      <c r="I61" s="5">
        <v>1.89</v>
      </c>
      <c r="J61" s="5">
        <v>3.54</v>
      </c>
      <c r="K61" s="5">
        <f t="shared" si="1"/>
        <v>0.33333333333333331</v>
      </c>
      <c r="L61" s="5">
        <f t="shared" si="2"/>
        <v>0.25</v>
      </c>
      <c r="M61" s="5">
        <f t="shared" si="3"/>
        <v>8.9533333333333331</v>
      </c>
      <c r="N61" s="1">
        <f t="shared" si="4"/>
        <v>4838.097065182802</v>
      </c>
      <c r="O61" s="6"/>
      <c r="P61" s="6"/>
    </row>
    <row r="62" spans="2:16">
      <c r="B62">
        <f t="shared" si="6"/>
        <v>58</v>
      </c>
      <c r="C62">
        <v>0</v>
      </c>
      <c r="D62" s="1">
        <f t="shared" si="5"/>
        <v>2728977.0305870115</v>
      </c>
      <c r="E62">
        <v>1.05</v>
      </c>
      <c r="F62">
        <v>1</v>
      </c>
      <c r="G62" s="5">
        <f t="shared" si="0"/>
        <v>2</v>
      </c>
      <c r="H62" s="5">
        <v>0.94</v>
      </c>
      <c r="I62" s="5">
        <v>1.89</v>
      </c>
      <c r="J62" s="5">
        <v>3.54</v>
      </c>
      <c r="K62" s="5">
        <f t="shared" si="1"/>
        <v>0.33333333333333331</v>
      </c>
      <c r="L62" s="5">
        <f t="shared" si="2"/>
        <v>0.25</v>
      </c>
      <c r="M62" s="5">
        <f t="shared" si="3"/>
        <v>8.9533333333333331</v>
      </c>
      <c r="N62" s="1">
        <f t="shared" si="4"/>
        <v>5080.0019184419425</v>
      </c>
      <c r="O62" s="6"/>
      <c r="P62" s="6"/>
    </row>
    <row r="63" spans="2:16">
      <c r="B63">
        <f t="shared" si="6"/>
        <v>59</v>
      </c>
      <c r="C63">
        <v>0</v>
      </c>
      <c r="D63" s="1">
        <f t="shared" si="5"/>
        <v>2865425.882116362</v>
      </c>
      <c r="E63">
        <v>1.05</v>
      </c>
      <c r="F63">
        <v>1</v>
      </c>
      <c r="G63" s="5">
        <f t="shared" si="0"/>
        <v>2</v>
      </c>
      <c r="H63" s="5">
        <v>0.94</v>
      </c>
      <c r="I63" s="5">
        <v>1.89</v>
      </c>
      <c r="J63" s="5">
        <v>3.54</v>
      </c>
      <c r="K63" s="5">
        <f t="shared" si="1"/>
        <v>0.33333333333333331</v>
      </c>
      <c r="L63" s="5">
        <f t="shared" si="2"/>
        <v>0.25</v>
      </c>
      <c r="M63" s="5">
        <f t="shared" si="3"/>
        <v>8.9533333333333331</v>
      </c>
      <c r="N63" s="1">
        <f t="shared" si="4"/>
        <v>5334.0020143640395</v>
      </c>
      <c r="O63" s="6"/>
      <c r="P63" s="6"/>
    </row>
    <row r="64" spans="2:16">
      <c r="B64">
        <f t="shared" si="6"/>
        <v>60</v>
      </c>
      <c r="C64">
        <v>0</v>
      </c>
      <c r="D64" s="1">
        <f t="shared" si="5"/>
        <v>3008697.17622218</v>
      </c>
      <c r="E64">
        <v>1.05</v>
      </c>
      <c r="F64">
        <v>1</v>
      </c>
      <c r="G64" s="5">
        <f t="shared" si="0"/>
        <v>2</v>
      </c>
      <c r="H64" s="5">
        <v>0.94</v>
      </c>
      <c r="I64" s="5">
        <v>1.89</v>
      </c>
      <c r="J64" s="5">
        <v>3.54</v>
      </c>
      <c r="K64" s="5">
        <f t="shared" si="1"/>
        <v>0.33333333333333331</v>
      </c>
      <c r="L64" s="5">
        <f t="shared" si="2"/>
        <v>0.25</v>
      </c>
      <c r="M64" s="5">
        <f t="shared" si="3"/>
        <v>8.9533333333333331</v>
      </c>
      <c r="N64" s="1">
        <f t="shared" si="4"/>
        <v>5600.7021150822411</v>
      </c>
      <c r="O64" s="6">
        <f>SUM(N64/60)</f>
        <v>93.345035251370689</v>
      </c>
      <c r="P64" s="6">
        <f>SUM(O64/24)</f>
        <v>3.8893764688071122</v>
      </c>
    </row>
    <row r="65" spans="2:16">
      <c r="B65">
        <f t="shared" si="6"/>
        <v>61</v>
      </c>
      <c r="C65">
        <v>0</v>
      </c>
      <c r="D65" s="1">
        <f t="shared" si="5"/>
        <v>3068871.1197466236</v>
      </c>
      <c r="E65">
        <v>1.02</v>
      </c>
      <c r="F65">
        <v>1</v>
      </c>
      <c r="G65" s="5">
        <f t="shared" si="0"/>
        <v>2</v>
      </c>
      <c r="H65" s="5">
        <v>0.94</v>
      </c>
      <c r="I65" s="5">
        <v>1.89</v>
      </c>
      <c r="J65" s="5">
        <v>3.54</v>
      </c>
      <c r="K65" s="5">
        <f t="shared" si="1"/>
        <v>0.33333333333333331</v>
      </c>
      <c r="L65" s="5">
        <f t="shared" si="2"/>
        <v>0.25</v>
      </c>
      <c r="M65" s="5">
        <f t="shared" si="3"/>
        <v>8.9533333333333331</v>
      </c>
      <c r="N65" s="1">
        <f t="shared" si="4"/>
        <v>5712.7161573838857</v>
      </c>
      <c r="O65" s="6"/>
      <c r="P65" s="6"/>
    </row>
    <row r="66" spans="2:16">
      <c r="B66">
        <f t="shared" si="6"/>
        <v>62</v>
      </c>
      <c r="C66">
        <v>0</v>
      </c>
      <c r="D66" s="1">
        <f t="shared" si="5"/>
        <v>3130248.5421415563</v>
      </c>
      <c r="E66">
        <v>1.02</v>
      </c>
      <c r="F66">
        <v>1</v>
      </c>
      <c r="G66" s="5">
        <f t="shared" si="0"/>
        <v>2</v>
      </c>
      <c r="H66" s="5">
        <v>0.94</v>
      </c>
      <c r="I66" s="5">
        <v>1.89</v>
      </c>
      <c r="J66" s="5">
        <v>3.54</v>
      </c>
      <c r="K66" s="5">
        <f t="shared" si="1"/>
        <v>0.33333333333333331</v>
      </c>
      <c r="L66" s="5">
        <f t="shared" si="2"/>
        <v>0.25</v>
      </c>
      <c r="M66" s="5">
        <f t="shared" si="3"/>
        <v>8.9533333333333331</v>
      </c>
      <c r="N66" s="1">
        <f t="shared" si="4"/>
        <v>5826.970480531565</v>
      </c>
      <c r="O66" s="6"/>
      <c r="P66" s="6"/>
    </row>
    <row r="67" spans="2:16">
      <c r="B67">
        <f t="shared" si="6"/>
        <v>63</v>
      </c>
      <c r="C67">
        <v>0</v>
      </c>
      <c r="D67" s="1">
        <f t="shared" si="5"/>
        <v>3192853.5129843876</v>
      </c>
      <c r="E67">
        <v>1.02</v>
      </c>
      <c r="F67">
        <v>1</v>
      </c>
      <c r="G67" s="5">
        <f t="shared" si="0"/>
        <v>2</v>
      </c>
      <c r="H67" s="5">
        <v>0.94</v>
      </c>
      <c r="I67" s="5">
        <v>1.89</v>
      </c>
      <c r="J67" s="5">
        <v>3.54</v>
      </c>
      <c r="K67" s="5">
        <f t="shared" si="1"/>
        <v>0.33333333333333331</v>
      </c>
      <c r="L67" s="5">
        <f t="shared" si="2"/>
        <v>0.25</v>
      </c>
      <c r="M67" s="5">
        <f t="shared" si="3"/>
        <v>8.9533333333333331</v>
      </c>
      <c r="N67" s="1">
        <f t="shared" si="4"/>
        <v>5943.5098901421961</v>
      </c>
      <c r="O67" s="6"/>
      <c r="P67" s="6"/>
    </row>
    <row r="68" spans="2:16">
      <c r="B68">
        <f t="shared" si="6"/>
        <v>64</v>
      </c>
      <c r="C68">
        <v>0</v>
      </c>
      <c r="D68" s="1">
        <f t="shared" si="5"/>
        <v>3256710.5832440755</v>
      </c>
      <c r="E68">
        <v>1.02</v>
      </c>
      <c r="F68">
        <v>1</v>
      </c>
      <c r="G68" s="5">
        <f t="shared" si="0"/>
        <v>2</v>
      </c>
      <c r="H68" s="5">
        <v>0.94</v>
      </c>
      <c r="I68" s="5">
        <v>1.89</v>
      </c>
      <c r="J68" s="5">
        <v>3.54</v>
      </c>
      <c r="K68" s="5">
        <f t="shared" si="1"/>
        <v>0.33333333333333331</v>
      </c>
      <c r="L68" s="5">
        <f t="shared" si="2"/>
        <v>0.25</v>
      </c>
      <c r="M68" s="5">
        <f t="shared" si="3"/>
        <v>8.9533333333333331</v>
      </c>
      <c r="N68" s="1">
        <f t="shared" si="4"/>
        <v>6062.38008794504</v>
      </c>
      <c r="O68" s="6"/>
      <c r="P68" s="6"/>
    </row>
    <row r="69" spans="2:16">
      <c r="B69">
        <f t="shared" si="6"/>
        <v>65</v>
      </c>
      <c r="C69">
        <v>0</v>
      </c>
      <c r="D69" s="1">
        <f t="shared" si="5"/>
        <v>3321844.7949089571</v>
      </c>
      <c r="E69">
        <v>1.02</v>
      </c>
      <c r="F69">
        <v>1</v>
      </c>
      <c r="G69" s="5">
        <f t="shared" si="0"/>
        <v>2</v>
      </c>
      <c r="H69" s="5">
        <v>0.94</v>
      </c>
      <c r="I69" s="5">
        <v>1.89</v>
      </c>
      <c r="J69" s="5">
        <v>3.54</v>
      </c>
      <c r="K69" s="5">
        <f t="shared" si="1"/>
        <v>0.33333333333333331</v>
      </c>
      <c r="L69" s="5">
        <f t="shared" si="2"/>
        <v>0.25</v>
      </c>
      <c r="M69" s="5">
        <f t="shared" si="3"/>
        <v>8.9533333333333331</v>
      </c>
      <c r="N69" s="1">
        <f t="shared" si="4"/>
        <v>6183.6276897039406</v>
      </c>
      <c r="O69" s="6"/>
      <c r="P69" s="6"/>
    </row>
    <row r="70" spans="2:16">
      <c r="B70">
        <f t="shared" si="6"/>
        <v>66</v>
      </c>
      <c r="C70">
        <v>0</v>
      </c>
      <c r="D70" s="1">
        <f t="shared" si="5"/>
        <v>3388281.6908071362</v>
      </c>
      <c r="E70">
        <v>1.02</v>
      </c>
      <c r="F70">
        <v>1</v>
      </c>
      <c r="G70" s="5">
        <f t="shared" ref="G70:G103" si="7">SUM(F70*2)</f>
        <v>2</v>
      </c>
      <c r="H70" s="5">
        <v>0.94</v>
      </c>
      <c r="I70" s="5">
        <v>1.89</v>
      </c>
      <c r="J70" s="5">
        <v>3.54</v>
      </c>
      <c r="K70" s="5">
        <f t="shared" ref="K70:K103" si="8">SUM((4*3600*2)/(24*3600))</f>
        <v>0.33333333333333331</v>
      </c>
      <c r="L70" s="5">
        <f t="shared" ref="L70:L103" si="9">SUM((2*3600*3)/(24*3600))</f>
        <v>0.25</v>
      </c>
      <c r="M70" s="5">
        <f t="shared" ref="M70:M103" si="10">SUM(L70,K70,J70,I70,H70,G70)</f>
        <v>8.9533333333333331</v>
      </c>
      <c r="N70" s="1">
        <f t="shared" ref="N70:N103" si="11">SUM(D70/M70)/60</f>
        <v>6307.3002434980199</v>
      </c>
      <c r="O70" s="6"/>
      <c r="P70" s="6"/>
    </row>
    <row r="71" spans="2:16">
      <c r="B71">
        <f t="shared" si="6"/>
        <v>67</v>
      </c>
      <c r="C71">
        <v>0</v>
      </c>
      <c r="D71" s="1">
        <f t="shared" si="5"/>
        <v>3456047.3246232788</v>
      </c>
      <c r="E71">
        <v>1.02</v>
      </c>
      <c r="F71">
        <v>1</v>
      </c>
      <c r="G71" s="5">
        <f t="shared" si="7"/>
        <v>2</v>
      </c>
      <c r="H71" s="5">
        <v>0.94</v>
      </c>
      <c r="I71" s="5">
        <v>1.89</v>
      </c>
      <c r="J71" s="5">
        <v>3.54</v>
      </c>
      <c r="K71" s="5">
        <f t="shared" si="8"/>
        <v>0.33333333333333331</v>
      </c>
      <c r="L71" s="5">
        <f t="shared" si="9"/>
        <v>0.25</v>
      </c>
      <c r="M71" s="5">
        <f t="shared" si="10"/>
        <v>8.9533333333333331</v>
      </c>
      <c r="N71" s="1">
        <f t="shared" si="11"/>
        <v>6433.4462483679799</v>
      </c>
      <c r="O71" s="6"/>
      <c r="P71" s="6"/>
    </row>
    <row r="72" spans="2:16">
      <c r="B72">
        <f t="shared" si="6"/>
        <v>68</v>
      </c>
      <c r="C72">
        <v>0</v>
      </c>
      <c r="D72" s="1">
        <f t="shared" ref="D72:D103" si="12">SUM(D71*E72)</f>
        <v>3525168.2711157445</v>
      </c>
      <c r="E72">
        <v>1.02</v>
      </c>
      <c r="F72">
        <v>1</v>
      </c>
      <c r="G72" s="5">
        <f t="shared" si="7"/>
        <v>2</v>
      </c>
      <c r="H72" s="5">
        <v>0.94</v>
      </c>
      <c r="I72" s="5">
        <v>1.89</v>
      </c>
      <c r="J72" s="5">
        <v>3.54</v>
      </c>
      <c r="K72" s="5">
        <f t="shared" si="8"/>
        <v>0.33333333333333331</v>
      </c>
      <c r="L72" s="5">
        <f t="shared" si="9"/>
        <v>0.25</v>
      </c>
      <c r="M72" s="5">
        <f t="shared" si="10"/>
        <v>8.9533333333333331</v>
      </c>
      <c r="N72" s="1">
        <f t="shared" si="11"/>
        <v>6562.115173335339</v>
      </c>
      <c r="O72" s="6"/>
      <c r="P72" s="6"/>
    </row>
    <row r="73" spans="2:16">
      <c r="B73">
        <f t="shared" si="6"/>
        <v>69</v>
      </c>
      <c r="C73">
        <v>0</v>
      </c>
      <c r="D73" s="1">
        <f t="shared" si="12"/>
        <v>3595671.6365380595</v>
      </c>
      <c r="E73">
        <v>1.02</v>
      </c>
      <c r="F73">
        <v>1</v>
      </c>
      <c r="G73" s="5">
        <f t="shared" si="7"/>
        <v>2</v>
      </c>
      <c r="H73" s="5">
        <v>0.94</v>
      </c>
      <c r="I73" s="5">
        <v>1.89</v>
      </c>
      <c r="J73" s="5">
        <v>3.54</v>
      </c>
      <c r="K73" s="5">
        <f t="shared" si="8"/>
        <v>0.33333333333333331</v>
      </c>
      <c r="L73" s="5">
        <f t="shared" si="9"/>
        <v>0.25</v>
      </c>
      <c r="M73" s="5">
        <f t="shared" si="10"/>
        <v>8.9533333333333331</v>
      </c>
      <c r="N73" s="1">
        <f t="shared" si="11"/>
        <v>6693.3574768020471</v>
      </c>
      <c r="O73" s="6"/>
      <c r="P73" s="6"/>
    </row>
    <row r="74" spans="2:16">
      <c r="B74">
        <f t="shared" si="6"/>
        <v>70</v>
      </c>
      <c r="C74">
        <v>0</v>
      </c>
      <c r="D74" s="1">
        <f t="shared" si="12"/>
        <v>3667585.0692688208</v>
      </c>
      <c r="E74">
        <v>1.02</v>
      </c>
      <c r="F74">
        <v>1</v>
      </c>
      <c r="G74" s="5">
        <f t="shared" si="7"/>
        <v>2</v>
      </c>
      <c r="H74" s="5">
        <v>0.94</v>
      </c>
      <c r="I74" s="5">
        <v>1.89</v>
      </c>
      <c r="J74" s="5">
        <v>3.54</v>
      </c>
      <c r="K74" s="5">
        <f t="shared" si="8"/>
        <v>0.33333333333333331</v>
      </c>
      <c r="L74" s="5">
        <f t="shared" si="9"/>
        <v>0.25</v>
      </c>
      <c r="M74" s="5">
        <f t="shared" si="10"/>
        <v>8.9533333333333331</v>
      </c>
      <c r="N74" s="1">
        <f t="shared" si="11"/>
        <v>6827.2246263380885</v>
      </c>
      <c r="O74" s="6">
        <f>SUM(N74/60)</f>
        <v>113.78707710563481</v>
      </c>
      <c r="P74" s="6">
        <f>SUM(O74/24)</f>
        <v>4.7411282127347834</v>
      </c>
    </row>
    <row r="75" spans="2:16">
      <c r="B75">
        <f t="shared" si="6"/>
        <v>71</v>
      </c>
      <c r="C75">
        <v>0</v>
      </c>
      <c r="D75" s="1">
        <f t="shared" si="12"/>
        <v>3704260.9199615088</v>
      </c>
      <c r="E75">
        <v>1.01</v>
      </c>
      <c r="F75">
        <v>1</v>
      </c>
      <c r="G75" s="5">
        <f t="shared" si="7"/>
        <v>2</v>
      </c>
      <c r="H75" s="5">
        <v>0.94</v>
      </c>
      <c r="I75" s="5">
        <v>1.89</v>
      </c>
      <c r="J75" s="5">
        <v>3.54</v>
      </c>
      <c r="K75" s="5">
        <f t="shared" si="8"/>
        <v>0.33333333333333331</v>
      </c>
      <c r="L75" s="5">
        <f t="shared" si="9"/>
        <v>0.25</v>
      </c>
      <c r="M75" s="5">
        <f t="shared" si="10"/>
        <v>8.9533333333333331</v>
      </c>
      <c r="N75" s="1">
        <f t="shared" si="11"/>
        <v>6895.4968726014686</v>
      </c>
      <c r="O75" s="6"/>
      <c r="P75" s="6"/>
    </row>
    <row r="76" spans="2:16">
      <c r="B76">
        <f t="shared" si="6"/>
        <v>72</v>
      </c>
      <c r="C76">
        <v>0</v>
      </c>
      <c r="D76" s="1">
        <f t="shared" si="12"/>
        <v>3741303.529161124</v>
      </c>
      <c r="E76">
        <v>1.01</v>
      </c>
      <c r="F76">
        <v>1</v>
      </c>
      <c r="G76" s="5">
        <f t="shared" si="7"/>
        <v>2</v>
      </c>
      <c r="H76" s="5">
        <v>0.94</v>
      </c>
      <c r="I76" s="5">
        <v>1.89</v>
      </c>
      <c r="J76" s="5">
        <v>3.54</v>
      </c>
      <c r="K76" s="5">
        <f t="shared" si="8"/>
        <v>0.33333333333333331</v>
      </c>
      <c r="L76" s="5">
        <f t="shared" si="9"/>
        <v>0.25</v>
      </c>
      <c r="M76" s="5">
        <f t="shared" si="10"/>
        <v>8.9533333333333331</v>
      </c>
      <c r="N76" s="1">
        <f t="shared" si="11"/>
        <v>6964.4518413274827</v>
      </c>
      <c r="O76" s="6"/>
      <c r="P76" s="6"/>
    </row>
    <row r="77" spans="2:16">
      <c r="B77">
        <f t="shared" si="6"/>
        <v>73</v>
      </c>
      <c r="C77">
        <v>0</v>
      </c>
      <c r="D77" s="1">
        <f t="shared" si="12"/>
        <v>3778716.5644527352</v>
      </c>
      <c r="E77">
        <v>1.01</v>
      </c>
      <c r="F77">
        <v>1</v>
      </c>
      <c r="G77" s="5">
        <f t="shared" si="7"/>
        <v>2</v>
      </c>
      <c r="H77" s="5">
        <v>0.94</v>
      </c>
      <c r="I77" s="5">
        <v>1.89</v>
      </c>
      <c r="J77" s="5">
        <v>3.54</v>
      </c>
      <c r="K77" s="5">
        <f t="shared" si="8"/>
        <v>0.33333333333333331</v>
      </c>
      <c r="L77" s="5">
        <f t="shared" si="9"/>
        <v>0.25</v>
      </c>
      <c r="M77" s="5">
        <f t="shared" si="10"/>
        <v>8.9533333333333331</v>
      </c>
      <c r="N77" s="1">
        <f t="shared" si="11"/>
        <v>7034.0963597407581</v>
      </c>
      <c r="O77" s="6"/>
      <c r="P77" s="6"/>
    </row>
    <row r="78" spans="2:16">
      <c r="B78">
        <f t="shared" si="6"/>
        <v>74</v>
      </c>
      <c r="C78">
        <v>0</v>
      </c>
      <c r="D78" s="1">
        <f t="shared" si="12"/>
        <v>3816503.7300972627</v>
      </c>
      <c r="E78">
        <v>1.01</v>
      </c>
      <c r="F78">
        <v>1</v>
      </c>
      <c r="G78" s="5">
        <f t="shared" si="7"/>
        <v>2</v>
      </c>
      <c r="H78" s="5">
        <v>0.94</v>
      </c>
      <c r="I78" s="5">
        <v>1.89</v>
      </c>
      <c r="J78" s="5">
        <v>3.54</v>
      </c>
      <c r="K78" s="5">
        <f t="shared" si="8"/>
        <v>0.33333333333333331</v>
      </c>
      <c r="L78" s="5">
        <f t="shared" si="9"/>
        <v>0.25</v>
      </c>
      <c r="M78" s="5">
        <f t="shared" si="10"/>
        <v>8.9533333333333331</v>
      </c>
      <c r="N78" s="1">
        <f t="shared" si="11"/>
        <v>7104.4373233381657</v>
      </c>
      <c r="O78" s="6"/>
      <c r="P78" s="6"/>
    </row>
    <row r="79" spans="2:16">
      <c r="B79">
        <f t="shared" si="6"/>
        <v>75</v>
      </c>
      <c r="C79">
        <v>0</v>
      </c>
      <c r="D79" s="1">
        <f t="shared" si="12"/>
        <v>3854668.7673982354</v>
      </c>
      <c r="E79">
        <v>1.01</v>
      </c>
      <c r="F79">
        <v>1</v>
      </c>
      <c r="G79" s="5">
        <f t="shared" si="7"/>
        <v>2</v>
      </c>
      <c r="H79" s="5">
        <v>0.94</v>
      </c>
      <c r="I79" s="5">
        <v>1.89</v>
      </c>
      <c r="J79" s="5">
        <v>3.54</v>
      </c>
      <c r="K79" s="5">
        <f t="shared" si="8"/>
        <v>0.33333333333333331</v>
      </c>
      <c r="L79" s="5">
        <f t="shared" si="9"/>
        <v>0.25</v>
      </c>
      <c r="M79" s="5">
        <f t="shared" si="10"/>
        <v>8.9533333333333331</v>
      </c>
      <c r="N79" s="1">
        <f t="shared" si="11"/>
        <v>7175.4816965715472</v>
      </c>
      <c r="O79" s="6"/>
      <c r="P79" s="6"/>
    </row>
    <row r="80" spans="2:16">
      <c r="B80">
        <f t="shared" si="6"/>
        <v>76</v>
      </c>
      <c r="C80">
        <v>0</v>
      </c>
      <c r="D80" s="1">
        <f t="shared" si="12"/>
        <v>3893215.4550722176</v>
      </c>
      <c r="E80">
        <v>1.01</v>
      </c>
      <c r="F80">
        <v>1</v>
      </c>
      <c r="G80" s="5">
        <f t="shared" si="7"/>
        <v>2</v>
      </c>
      <c r="H80" s="5">
        <v>0.94</v>
      </c>
      <c r="I80" s="5">
        <v>1.89</v>
      </c>
      <c r="J80" s="5">
        <v>3.54</v>
      </c>
      <c r="K80" s="5">
        <f t="shared" si="8"/>
        <v>0.33333333333333331</v>
      </c>
      <c r="L80" s="5">
        <f t="shared" si="9"/>
        <v>0.25</v>
      </c>
      <c r="M80" s="5">
        <f t="shared" si="10"/>
        <v>8.9533333333333331</v>
      </c>
      <c r="N80" s="1">
        <f t="shared" si="11"/>
        <v>7247.2365135372629</v>
      </c>
      <c r="O80" s="6"/>
      <c r="P80" s="6"/>
    </row>
    <row r="81" spans="2:16">
      <c r="B81">
        <f t="shared" si="6"/>
        <v>77</v>
      </c>
      <c r="C81">
        <v>0</v>
      </c>
      <c r="D81" s="1">
        <f t="shared" si="12"/>
        <v>3932147.60962294</v>
      </c>
      <c r="E81">
        <v>1.01</v>
      </c>
      <c r="F81">
        <v>1</v>
      </c>
      <c r="G81" s="5">
        <f t="shared" si="7"/>
        <v>2</v>
      </c>
      <c r="H81" s="5">
        <v>0.94</v>
      </c>
      <c r="I81" s="5">
        <v>1.89</v>
      </c>
      <c r="J81" s="5">
        <v>3.54</v>
      </c>
      <c r="K81" s="5">
        <f t="shared" si="8"/>
        <v>0.33333333333333331</v>
      </c>
      <c r="L81" s="5">
        <f t="shared" si="9"/>
        <v>0.25</v>
      </c>
      <c r="M81" s="5">
        <f t="shared" si="10"/>
        <v>8.9533333333333331</v>
      </c>
      <c r="N81" s="1">
        <f t="shared" si="11"/>
        <v>7319.7088786726363</v>
      </c>
      <c r="O81" s="6"/>
      <c r="P81" s="6"/>
    </row>
    <row r="82" spans="2:16">
      <c r="B82">
        <f t="shared" si="6"/>
        <v>78</v>
      </c>
      <c r="C82">
        <v>0</v>
      </c>
      <c r="D82" s="1">
        <f t="shared" si="12"/>
        <v>3971469.0857191696</v>
      </c>
      <c r="E82">
        <v>1.01</v>
      </c>
      <c r="F82">
        <v>1</v>
      </c>
      <c r="G82" s="5">
        <f t="shared" si="7"/>
        <v>2</v>
      </c>
      <c r="H82" s="5">
        <v>0.94</v>
      </c>
      <c r="I82" s="5">
        <v>1.89</v>
      </c>
      <c r="J82" s="5">
        <v>3.54</v>
      </c>
      <c r="K82" s="5">
        <f t="shared" si="8"/>
        <v>0.33333333333333331</v>
      </c>
      <c r="L82" s="5">
        <f t="shared" si="9"/>
        <v>0.25</v>
      </c>
      <c r="M82" s="5">
        <f t="shared" si="10"/>
        <v>8.9533333333333331</v>
      </c>
      <c r="N82" s="1">
        <f t="shared" si="11"/>
        <v>7392.9059674593627</v>
      </c>
      <c r="O82" s="6"/>
      <c r="P82" s="6"/>
    </row>
    <row r="83" spans="2:16">
      <c r="B83">
        <f t="shared" si="6"/>
        <v>79</v>
      </c>
      <c r="C83">
        <v>0</v>
      </c>
      <c r="D83" s="1">
        <f t="shared" si="12"/>
        <v>4011183.7765763612</v>
      </c>
      <c r="E83">
        <v>1.01</v>
      </c>
      <c r="F83">
        <v>1</v>
      </c>
      <c r="G83" s="5">
        <f t="shared" si="7"/>
        <v>2</v>
      </c>
      <c r="H83" s="5">
        <v>0.94</v>
      </c>
      <c r="I83" s="5">
        <v>1.89</v>
      </c>
      <c r="J83" s="5">
        <v>3.54</v>
      </c>
      <c r="K83" s="5">
        <f t="shared" si="8"/>
        <v>0.33333333333333331</v>
      </c>
      <c r="L83" s="5">
        <f t="shared" si="9"/>
        <v>0.25</v>
      </c>
      <c r="M83" s="5">
        <f t="shared" si="10"/>
        <v>8.9533333333333331</v>
      </c>
      <c r="N83" s="1">
        <f t="shared" si="11"/>
        <v>7466.8350271339559</v>
      </c>
      <c r="O83" s="6"/>
      <c r="P83" s="6"/>
    </row>
    <row r="84" spans="2:16">
      <c r="B84">
        <f t="shared" ref="B84:B103" si="13">SUM(B83+1)</f>
        <v>80</v>
      </c>
      <c r="C84">
        <v>0</v>
      </c>
      <c r="D84" s="1">
        <f t="shared" si="12"/>
        <v>4051295.6143421247</v>
      </c>
      <c r="E84">
        <v>1.01</v>
      </c>
      <c r="F84">
        <v>1</v>
      </c>
      <c r="G84" s="5">
        <f t="shared" si="7"/>
        <v>2</v>
      </c>
      <c r="H84" s="5">
        <v>0.94</v>
      </c>
      <c r="I84" s="5">
        <v>1.89</v>
      </c>
      <c r="J84" s="5">
        <v>3.54</v>
      </c>
      <c r="K84" s="5">
        <f t="shared" si="8"/>
        <v>0.33333333333333331</v>
      </c>
      <c r="L84" s="5">
        <f t="shared" si="9"/>
        <v>0.25</v>
      </c>
      <c r="M84" s="5">
        <f t="shared" si="10"/>
        <v>8.9533333333333331</v>
      </c>
      <c r="N84" s="1">
        <f t="shared" si="11"/>
        <v>7541.5033774052963</v>
      </c>
      <c r="O84" s="6">
        <f>SUM(N84/60)</f>
        <v>125.69172295675494</v>
      </c>
      <c r="P84" s="6">
        <f>SUM(O84/24)</f>
        <v>5.2371551231981224</v>
      </c>
    </row>
    <row r="85" spans="2:16">
      <c r="B85">
        <f t="shared" si="13"/>
        <v>81</v>
      </c>
      <c r="C85">
        <v>0</v>
      </c>
      <c r="D85" s="1">
        <f t="shared" si="12"/>
        <v>4091808.5704855458</v>
      </c>
      <c r="E85">
        <v>1.01</v>
      </c>
      <c r="F85">
        <v>1</v>
      </c>
      <c r="G85" s="5">
        <f t="shared" si="7"/>
        <v>2</v>
      </c>
      <c r="H85" s="5">
        <v>0.94</v>
      </c>
      <c r="I85" s="5">
        <v>1.89</v>
      </c>
      <c r="J85" s="5">
        <v>3.54</v>
      </c>
      <c r="K85" s="5">
        <f t="shared" si="8"/>
        <v>0.33333333333333331</v>
      </c>
      <c r="L85" s="5">
        <f t="shared" si="9"/>
        <v>0.25</v>
      </c>
      <c r="M85" s="5">
        <f t="shared" si="10"/>
        <v>8.9533333333333331</v>
      </c>
      <c r="N85" s="1">
        <f t="shared" si="11"/>
        <v>7616.9184111793484</v>
      </c>
      <c r="O85" s="6"/>
      <c r="P85" s="6"/>
    </row>
    <row r="86" spans="2:16">
      <c r="B86">
        <f t="shared" si="13"/>
        <v>82</v>
      </c>
      <c r="C86">
        <v>0</v>
      </c>
      <c r="D86" s="1">
        <f t="shared" si="12"/>
        <v>4132726.6561904014</v>
      </c>
      <c r="E86">
        <v>1.01</v>
      </c>
      <c r="F86">
        <v>1</v>
      </c>
      <c r="G86" s="5">
        <f t="shared" si="7"/>
        <v>2</v>
      </c>
      <c r="H86" s="5">
        <v>0.94</v>
      </c>
      <c r="I86" s="5">
        <v>1.89</v>
      </c>
      <c r="J86" s="5">
        <v>3.54</v>
      </c>
      <c r="K86" s="5">
        <f t="shared" si="8"/>
        <v>0.33333333333333331</v>
      </c>
      <c r="L86" s="5">
        <f t="shared" si="9"/>
        <v>0.25</v>
      </c>
      <c r="M86" s="5">
        <f t="shared" si="10"/>
        <v>8.9533333333333331</v>
      </c>
      <c r="N86" s="1">
        <f t="shared" si="11"/>
        <v>7693.087595291142</v>
      </c>
      <c r="O86" s="6"/>
      <c r="P86" s="6"/>
    </row>
    <row r="87" spans="2:16">
      <c r="B87">
        <f t="shared" si="13"/>
        <v>83</v>
      </c>
      <c r="C87">
        <v>0</v>
      </c>
      <c r="D87" s="1">
        <f t="shared" si="12"/>
        <v>4174053.9227523054</v>
      </c>
      <c r="E87">
        <v>1.01</v>
      </c>
      <c r="F87">
        <v>1</v>
      </c>
      <c r="G87" s="5">
        <f t="shared" si="7"/>
        <v>2</v>
      </c>
      <c r="H87" s="5">
        <v>0.94</v>
      </c>
      <c r="I87" s="5">
        <v>1.89</v>
      </c>
      <c r="J87" s="5">
        <v>3.54</v>
      </c>
      <c r="K87" s="5">
        <f t="shared" si="8"/>
        <v>0.33333333333333331</v>
      </c>
      <c r="L87" s="5">
        <f t="shared" si="9"/>
        <v>0.25</v>
      </c>
      <c r="M87" s="5">
        <f t="shared" si="10"/>
        <v>8.9533333333333331</v>
      </c>
      <c r="N87" s="1">
        <f t="shared" si="11"/>
        <v>7770.0184712440532</v>
      </c>
      <c r="O87" s="6"/>
      <c r="P87" s="6"/>
    </row>
    <row r="88" spans="2:16">
      <c r="B88">
        <f t="shared" si="13"/>
        <v>84</v>
      </c>
      <c r="C88">
        <v>0</v>
      </c>
      <c r="D88" s="1">
        <f t="shared" si="12"/>
        <v>4215794.4619798288</v>
      </c>
      <c r="E88">
        <v>1.01</v>
      </c>
      <c r="F88">
        <v>1</v>
      </c>
      <c r="G88" s="5">
        <f t="shared" si="7"/>
        <v>2</v>
      </c>
      <c r="H88" s="5">
        <v>0.94</v>
      </c>
      <c r="I88" s="5">
        <v>1.89</v>
      </c>
      <c r="J88" s="5">
        <v>3.54</v>
      </c>
      <c r="K88" s="5">
        <f t="shared" si="8"/>
        <v>0.33333333333333331</v>
      </c>
      <c r="L88" s="5">
        <f t="shared" si="9"/>
        <v>0.25</v>
      </c>
      <c r="M88" s="5">
        <f t="shared" si="10"/>
        <v>8.9533333333333331</v>
      </c>
      <c r="N88" s="1">
        <f t="shared" si="11"/>
        <v>7847.7186559564952</v>
      </c>
      <c r="O88" s="6"/>
      <c r="P88" s="6"/>
    </row>
    <row r="89" spans="2:16">
      <c r="B89">
        <f t="shared" si="13"/>
        <v>85</v>
      </c>
      <c r="C89">
        <v>0</v>
      </c>
      <c r="D89" s="1">
        <f t="shared" si="12"/>
        <v>4257952.4065996269</v>
      </c>
      <c r="E89">
        <v>1.01</v>
      </c>
      <c r="F89">
        <v>1</v>
      </c>
      <c r="G89" s="5">
        <f t="shared" si="7"/>
        <v>2</v>
      </c>
      <c r="H89" s="5">
        <v>0.94</v>
      </c>
      <c r="I89" s="5">
        <v>1.89</v>
      </c>
      <c r="J89" s="5">
        <v>3.54</v>
      </c>
      <c r="K89" s="5">
        <f t="shared" si="8"/>
        <v>0.33333333333333331</v>
      </c>
      <c r="L89" s="5">
        <f t="shared" si="9"/>
        <v>0.25</v>
      </c>
      <c r="M89" s="5">
        <f t="shared" si="10"/>
        <v>8.9533333333333331</v>
      </c>
      <c r="N89" s="1">
        <f t="shared" si="11"/>
        <v>7926.1958425160592</v>
      </c>
      <c r="O89" s="6"/>
      <c r="P89" s="6"/>
    </row>
    <row r="90" spans="2:16">
      <c r="B90">
        <f t="shared" si="13"/>
        <v>86</v>
      </c>
      <c r="C90">
        <v>0</v>
      </c>
      <c r="D90" s="1">
        <f t="shared" si="12"/>
        <v>4300531.9306656234</v>
      </c>
      <c r="E90">
        <v>1.01</v>
      </c>
      <c r="F90">
        <v>1</v>
      </c>
      <c r="G90" s="5">
        <f t="shared" si="7"/>
        <v>2</v>
      </c>
      <c r="H90" s="5">
        <v>0.94</v>
      </c>
      <c r="I90" s="5">
        <v>1.89</v>
      </c>
      <c r="J90" s="5">
        <v>3.54</v>
      </c>
      <c r="K90" s="5">
        <f t="shared" si="8"/>
        <v>0.33333333333333331</v>
      </c>
      <c r="L90" s="5">
        <f t="shared" si="9"/>
        <v>0.25</v>
      </c>
      <c r="M90" s="5">
        <f t="shared" si="10"/>
        <v>8.9533333333333331</v>
      </c>
      <c r="N90" s="1">
        <f t="shared" si="11"/>
        <v>8005.4578009412198</v>
      </c>
      <c r="O90" s="6"/>
      <c r="P90" s="6"/>
    </row>
    <row r="91" spans="2:16">
      <c r="B91">
        <f t="shared" si="13"/>
        <v>87</v>
      </c>
      <c r="C91">
        <v>0</v>
      </c>
      <c r="D91" s="1">
        <f t="shared" si="12"/>
        <v>4343537.2499722801</v>
      </c>
      <c r="E91">
        <v>1.01</v>
      </c>
      <c r="F91">
        <v>1</v>
      </c>
      <c r="G91" s="5">
        <f t="shared" si="7"/>
        <v>2</v>
      </c>
      <c r="H91" s="5">
        <v>0.94</v>
      </c>
      <c r="I91" s="5">
        <v>1.89</v>
      </c>
      <c r="J91" s="5">
        <v>3.54</v>
      </c>
      <c r="K91" s="5">
        <f t="shared" si="8"/>
        <v>0.33333333333333331</v>
      </c>
      <c r="L91" s="5">
        <f t="shared" si="9"/>
        <v>0.25</v>
      </c>
      <c r="M91" s="5">
        <f t="shared" si="10"/>
        <v>8.9533333333333331</v>
      </c>
      <c r="N91" s="1">
        <f t="shared" si="11"/>
        <v>8085.5123789506333</v>
      </c>
      <c r="O91" s="6"/>
      <c r="P91" s="6"/>
    </row>
    <row r="92" spans="2:16">
      <c r="B92">
        <f t="shared" si="13"/>
        <v>88</v>
      </c>
      <c r="C92">
        <v>0</v>
      </c>
      <c r="D92" s="1">
        <f t="shared" si="12"/>
        <v>4386972.6224720031</v>
      </c>
      <c r="E92">
        <v>1.01</v>
      </c>
      <c r="F92">
        <v>1</v>
      </c>
      <c r="G92" s="5">
        <f t="shared" si="7"/>
        <v>2</v>
      </c>
      <c r="H92" s="5">
        <v>0.94</v>
      </c>
      <c r="I92" s="5">
        <v>1.89</v>
      </c>
      <c r="J92" s="5">
        <v>3.54</v>
      </c>
      <c r="K92" s="5">
        <f t="shared" si="8"/>
        <v>0.33333333333333331</v>
      </c>
      <c r="L92" s="5">
        <f t="shared" si="9"/>
        <v>0.25</v>
      </c>
      <c r="M92" s="5">
        <f t="shared" si="10"/>
        <v>8.9533333333333331</v>
      </c>
      <c r="N92" s="1">
        <f t="shared" si="11"/>
        <v>8166.3675027401396</v>
      </c>
      <c r="O92" s="6"/>
      <c r="P92" s="6"/>
    </row>
    <row r="93" spans="2:16">
      <c r="B93">
        <f t="shared" si="13"/>
        <v>89</v>
      </c>
      <c r="C93">
        <v>0</v>
      </c>
      <c r="D93" s="1">
        <f t="shared" si="12"/>
        <v>4430842.3486967236</v>
      </c>
      <c r="E93">
        <v>1.01</v>
      </c>
      <c r="F93">
        <v>1</v>
      </c>
      <c r="G93" s="5">
        <f t="shared" si="7"/>
        <v>2</v>
      </c>
      <c r="H93" s="5">
        <v>0.94</v>
      </c>
      <c r="I93" s="5">
        <v>1.89</v>
      </c>
      <c r="J93" s="5">
        <v>3.54</v>
      </c>
      <c r="K93" s="5">
        <f t="shared" si="8"/>
        <v>0.33333333333333331</v>
      </c>
      <c r="L93" s="5">
        <f t="shared" si="9"/>
        <v>0.25</v>
      </c>
      <c r="M93" s="5">
        <f t="shared" si="10"/>
        <v>8.9533333333333331</v>
      </c>
      <c r="N93" s="1">
        <f t="shared" si="11"/>
        <v>8248.0311777675415</v>
      </c>
      <c r="O93" s="6"/>
      <c r="P93" s="6"/>
    </row>
    <row r="94" spans="2:16">
      <c r="B94">
        <f t="shared" si="13"/>
        <v>90</v>
      </c>
      <c r="C94">
        <v>0</v>
      </c>
      <c r="D94" s="1">
        <f t="shared" si="12"/>
        <v>4475150.7721836912</v>
      </c>
      <c r="E94">
        <v>1.01</v>
      </c>
      <c r="F94">
        <v>1</v>
      </c>
      <c r="G94" s="5">
        <f t="shared" si="7"/>
        <v>2</v>
      </c>
      <c r="H94" s="5">
        <v>0.94</v>
      </c>
      <c r="I94" s="5">
        <v>1.89</v>
      </c>
      <c r="J94" s="5">
        <v>3.54</v>
      </c>
      <c r="K94" s="5">
        <f t="shared" si="8"/>
        <v>0.33333333333333331</v>
      </c>
      <c r="L94" s="5">
        <f t="shared" si="9"/>
        <v>0.25</v>
      </c>
      <c r="M94" s="5">
        <f t="shared" si="10"/>
        <v>8.9533333333333331</v>
      </c>
      <c r="N94" s="1">
        <f t="shared" si="11"/>
        <v>8330.5114895452189</v>
      </c>
      <c r="O94" s="6">
        <f>SUM(N94/60)</f>
        <v>138.84185815908697</v>
      </c>
      <c r="P94" s="6">
        <f>SUM(O94/24)</f>
        <v>5.7850774232952906</v>
      </c>
    </row>
    <row r="95" spans="2:16">
      <c r="B95">
        <f t="shared" si="13"/>
        <v>91</v>
      </c>
      <c r="C95">
        <v>0</v>
      </c>
      <c r="D95" s="1">
        <f t="shared" si="12"/>
        <v>4519902.2799055278</v>
      </c>
      <c r="E95">
        <v>1.01</v>
      </c>
      <c r="F95">
        <v>1</v>
      </c>
      <c r="G95" s="5">
        <f t="shared" si="7"/>
        <v>2</v>
      </c>
      <c r="H95" s="5">
        <v>0.94</v>
      </c>
      <c r="I95" s="5">
        <v>1.89</v>
      </c>
      <c r="J95" s="5">
        <v>3.54</v>
      </c>
      <c r="K95" s="5">
        <f t="shared" si="8"/>
        <v>0.33333333333333331</v>
      </c>
      <c r="L95" s="5">
        <f t="shared" si="9"/>
        <v>0.25</v>
      </c>
      <c r="M95" s="5">
        <f t="shared" si="10"/>
        <v>8.9533333333333331</v>
      </c>
      <c r="N95" s="1">
        <f t="shared" si="11"/>
        <v>8413.8166044406698</v>
      </c>
      <c r="O95" s="6"/>
      <c r="P95" s="6"/>
    </row>
    <row r="96" spans="2:16">
      <c r="B96">
        <f t="shared" si="13"/>
        <v>92</v>
      </c>
      <c r="C96">
        <v>0</v>
      </c>
      <c r="D96" s="1">
        <f t="shared" si="12"/>
        <v>4565101.3027045829</v>
      </c>
      <c r="E96">
        <v>1.01</v>
      </c>
      <c r="F96">
        <v>1</v>
      </c>
      <c r="G96" s="5">
        <f t="shared" si="7"/>
        <v>2</v>
      </c>
      <c r="H96" s="5">
        <v>0.94</v>
      </c>
      <c r="I96" s="5">
        <v>1.89</v>
      </c>
      <c r="J96" s="5">
        <v>3.54</v>
      </c>
      <c r="K96" s="5">
        <f t="shared" si="8"/>
        <v>0.33333333333333331</v>
      </c>
      <c r="L96" s="5">
        <f t="shared" si="9"/>
        <v>0.25</v>
      </c>
      <c r="M96" s="5">
        <f t="shared" si="10"/>
        <v>8.9533333333333331</v>
      </c>
      <c r="N96" s="1">
        <f t="shared" si="11"/>
        <v>8497.9547704850756</v>
      </c>
      <c r="O96" s="6"/>
      <c r="P96" s="6"/>
    </row>
    <row r="97" spans="2:16">
      <c r="B97">
        <f t="shared" si="13"/>
        <v>93</v>
      </c>
      <c r="C97">
        <v>0</v>
      </c>
      <c r="D97" s="1">
        <f t="shared" si="12"/>
        <v>4610752.3157316288</v>
      </c>
      <c r="E97">
        <v>1.01</v>
      </c>
      <c r="F97">
        <v>1</v>
      </c>
      <c r="G97" s="5">
        <f t="shared" si="7"/>
        <v>2</v>
      </c>
      <c r="H97" s="5">
        <v>0.94</v>
      </c>
      <c r="I97" s="5">
        <v>1.89</v>
      </c>
      <c r="J97" s="5">
        <v>3.54</v>
      </c>
      <c r="K97" s="5">
        <f t="shared" si="8"/>
        <v>0.33333333333333331</v>
      </c>
      <c r="L97" s="5">
        <f t="shared" si="9"/>
        <v>0.25</v>
      </c>
      <c r="M97" s="5">
        <f t="shared" si="10"/>
        <v>8.9533333333333331</v>
      </c>
      <c r="N97" s="1">
        <f t="shared" si="11"/>
        <v>8582.9343181899276</v>
      </c>
      <c r="O97" s="6"/>
      <c r="P97" s="6"/>
    </row>
    <row r="98" spans="2:16">
      <c r="B98">
        <f t="shared" si="13"/>
        <v>94</v>
      </c>
      <c r="C98">
        <v>0</v>
      </c>
      <c r="D98" s="1">
        <f t="shared" si="12"/>
        <v>4656859.8388889451</v>
      </c>
      <c r="E98">
        <v>1.01</v>
      </c>
      <c r="F98">
        <v>1</v>
      </c>
      <c r="G98" s="5">
        <f t="shared" si="7"/>
        <v>2</v>
      </c>
      <c r="H98" s="5">
        <v>0.94</v>
      </c>
      <c r="I98" s="5">
        <v>1.89</v>
      </c>
      <c r="J98" s="5">
        <v>3.54</v>
      </c>
      <c r="K98" s="5">
        <f t="shared" si="8"/>
        <v>0.33333333333333331</v>
      </c>
      <c r="L98" s="5">
        <f t="shared" si="9"/>
        <v>0.25</v>
      </c>
      <c r="M98" s="5">
        <f t="shared" si="10"/>
        <v>8.9533333333333331</v>
      </c>
      <c r="N98" s="1">
        <f t="shared" si="11"/>
        <v>8668.7636613718259</v>
      </c>
      <c r="O98" s="6"/>
      <c r="P98" s="6"/>
    </row>
    <row r="99" spans="2:16">
      <c r="B99">
        <f t="shared" si="13"/>
        <v>95</v>
      </c>
      <c r="C99">
        <v>0</v>
      </c>
      <c r="D99" s="1">
        <f t="shared" si="12"/>
        <v>4703428.4372778349</v>
      </c>
      <c r="E99">
        <v>1.01</v>
      </c>
      <c r="F99">
        <v>1</v>
      </c>
      <c r="G99" s="5">
        <f t="shared" si="7"/>
        <v>2</v>
      </c>
      <c r="H99" s="5">
        <v>0.94</v>
      </c>
      <c r="I99" s="5">
        <v>1.89</v>
      </c>
      <c r="J99" s="5">
        <v>3.54</v>
      </c>
      <c r="K99" s="5">
        <f t="shared" si="8"/>
        <v>0.33333333333333331</v>
      </c>
      <c r="L99" s="5">
        <f t="shared" si="9"/>
        <v>0.25</v>
      </c>
      <c r="M99" s="5">
        <f t="shared" si="10"/>
        <v>8.9533333333333331</v>
      </c>
      <c r="N99" s="1">
        <f t="shared" si="11"/>
        <v>8755.4512979855444</v>
      </c>
      <c r="O99" s="6"/>
      <c r="P99" s="6"/>
    </row>
    <row r="100" spans="2:16">
      <c r="B100">
        <f t="shared" si="13"/>
        <v>96</v>
      </c>
      <c r="C100">
        <v>0</v>
      </c>
      <c r="D100" s="1">
        <f t="shared" si="12"/>
        <v>4750462.7216506135</v>
      </c>
      <c r="E100">
        <v>1.01</v>
      </c>
      <c r="F100">
        <v>1</v>
      </c>
      <c r="G100" s="5">
        <f t="shared" si="7"/>
        <v>2</v>
      </c>
      <c r="H100" s="5">
        <v>0.94</v>
      </c>
      <c r="I100" s="5">
        <v>1.89</v>
      </c>
      <c r="J100" s="5">
        <v>3.54</v>
      </c>
      <c r="K100" s="5">
        <f t="shared" si="8"/>
        <v>0.33333333333333331</v>
      </c>
      <c r="L100" s="5">
        <f t="shared" si="9"/>
        <v>0.25</v>
      </c>
      <c r="M100" s="5">
        <f t="shared" si="10"/>
        <v>8.9533333333333331</v>
      </c>
      <c r="N100" s="1">
        <f t="shared" si="11"/>
        <v>8843.0058109654019</v>
      </c>
      <c r="O100" s="6"/>
      <c r="P100" s="6"/>
    </row>
    <row r="101" spans="2:16">
      <c r="B101">
        <f t="shared" si="13"/>
        <v>97</v>
      </c>
      <c r="C101">
        <v>0</v>
      </c>
      <c r="D101" s="1">
        <f t="shared" si="12"/>
        <v>4797967.3488671193</v>
      </c>
      <c r="E101">
        <v>1.01</v>
      </c>
      <c r="F101">
        <v>1</v>
      </c>
      <c r="G101" s="5">
        <f t="shared" si="7"/>
        <v>2</v>
      </c>
      <c r="H101" s="5">
        <v>0.94</v>
      </c>
      <c r="I101" s="5">
        <v>1.89</v>
      </c>
      <c r="J101" s="5">
        <v>3.54</v>
      </c>
      <c r="K101" s="5">
        <f t="shared" si="8"/>
        <v>0.33333333333333331</v>
      </c>
      <c r="L101" s="5">
        <f t="shared" si="9"/>
        <v>0.25</v>
      </c>
      <c r="M101" s="5">
        <f t="shared" si="10"/>
        <v>8.9533333333333331</v>
      </c>
      <c r="N101" s="1">
        <f t="shared" si="11"/>
        <v>8931.435869075056</v>
      </c>
      <c r="O101" s="6"/>
      <c r="P101" s="6"/>
    </row>
    <row r="102" spans="2:16">
      <c r="B102">
        <f t="shared" si="13"/>
        <v>98</v>
      </c>
      <c r="C102">
        <v>0</v>
      </c>
      <c r="D102" s="1">
        <f t="shared" si="12"/>
        <v>4845947.0223557903</v>
      </c>
      <c r="E102">
        <v>1.01</v>
      </c>
      <c r="F102">
        <v>1</v>
      </c>
      <c r="G102" s="5">
        <f t="shared" si="7"/>
        <v>2</v>
      </c>
      <c r="H102" s="5">
        <v>0.94</v>
      </c>
      <c r="I102" s="5">
        <v>1.89</v>
      </c>
      <c r="J102" s="5">
        <v>3.54</v>
      </c>
      <c r="K102" s="5">
        <f t="shared" si="8"/>
        <v>0.33333333333333331</v>
      </c>
      <c r="L102" s="5">
        <f t="shared" si="9"/>
        <v>0.25</v>
      </c>
      <c r="M102" s="5">
        <f t="shared" si="10"/>
        <v>8.9533333333333331</v>
      </c>
      <c r="N102" s="1">
        <f t="shared" si="11"/>
        <v>9020.7502277658041</v>
      </c>
      <c r="O102" s="6"/>
      <c r="P102" s="6"/>
    </row>
    <row r="103" spans="2:16">
      <c r="B103">
        <f t="shared" si="13"/>
        <v>99</v>
      </c>
      <c r="C103">
        <v>0</v>
      </c>
      <c r="D103" s="1">
        <f t="shared" si="12"/>
        <v>4894406.4925793484</v>
      </c>
      <c r="E103">
        <v>1.01</v>
      </c>
      <c r="F103">
        <v>1</v>
      </c>
      <c r="G103" s="5">
        <f t="shared" si="7"/>
        <v>2</v>
      </c>
      <c r="H103" s="5">
        <v>0.94</v>
      </c>
      <c r="I103" s="5">
        <v>1.89</v>
      </c>
      <c r="J103" s="5">
        <v>3.54</v>
      </c>
      <c r="K103" s="5">
        <f t="shared" si="8"/>
        <v>0.33333333333333331</v>
      </c>
      <c r="L103" s="5">
        <f t="shared" si="9"/>
        <v>0.25</v>
      </c>
      <c r="M103" s="5">
        <f t="shared" si="10"/>
        <v>8.9533333333333331</v>
      </c>
      <c r="N103" s="1">
        <f t="shared" si="11"/>
        <v>9110.9577300434648</v>
      </c>
      <c r="O103" s="6">
        <f>SUM(N103/60)</f>
        <v>151.84929550072442</v>
      </c>
      <c r="P103" s="6">
        <f>SUM(O103/24)</f>
        <v>6.327053979196851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1C99-F859-4E68-992C-2F9C4E92E481}">
  <dimension ref="B2:N40"/>
  <sheetViews>
    <sheetView workbookViewId="0">
      <selection activeCell="K23" sqref="K23"/>
    </sheetView>
  </sheetViews>
  <sheetFormatPr baseColWidth="10" defaultColWidth="8.83203125" defaultRowHeight="15"/>
  <cols>
    <col min="8" max="8" width="13.5" style="4" customWidth="1"/>
    <col min="11" max="12" width="14.6640625" customWidth="1"/>
    <col min="13" max="13" width="44.6640625" customWidth="1"/>
  </cols>
  <sheetData>
    <row r="2" spans="2:14">
      <c r="K2" t="s">
        <v>52</v>
      </c>
      <c r="M2" t="s">
        <v>53</v>
      </c>
    </row>
    <row r="3" spans="2:14">
      <c r="C3" t="s">
        <v>43</v>
      </c>
      <c r="K3" t="s">
        <v>44</v>
      </c>
    </row>
    <row r="4" spans="2:14">
      <c r="B4" s="3" t="s">
        <v>18</v>
      </c>
      <c r="C4" t="s">
        <v>34</v>
      </c>
      <c r="D4" t="s">
        <v>37</v>
      </c>
      <c r="E4" t="s">
        <v>36</v>
      </c>
      <c r="G4" t="s">
        <v>51</v>
      </c>
      <c r="H4" s="4" t="s">
        <v>50</v>
      </c>
      <c r="K4" t="s">
        <v>45</v>
      </c>
      <c r="L4" t="s">
        <v>47</v>
      </c>
      <c r="M4" t="s">
        <v>46</v>
      </c>
      <c r="N4" t="s">
        <v>49</v>
      </c>
    </row>
    <row r="5" spans="2:14">
      <c r="B5" t="s">
        <v>21</v>
      </c>
      <c r="C5" s="2">
        <v>0.4</v>
      </c>
      <c r="D5" s="1">
        <v>10</v>
      </c>
      <c r="E5">
        <v>1</v>
      </c>
      <c r="G5" s="1">
        <f>SUM(D5)</f>
        <v>10</v>
      </c>
      <c r="H5" s="4">
        <f>SUM(G5/$N$5)</f>
        <v>3.3333333333333333E-2</v>
      </c>
      <c r="K5">
        <v>50</v>
      </c>
      <c r="L5">
        <v>140</v>
      </c>
      <c r="M5">
        <v>300</v>
      </c>
      <c r="N5">
        <v>300</v>
      </c>
    </row>
    <row r="6" spans="2:14">
      <c r="B6" t="s">
        <v>22</v>
      </c>
      <c r="C6" s="2">
        <f>SUM(C5*1.1)</f>
        <v>0.44000000000000006</v>
      </c>
      <c r="D6" s="1">
        <f>SUM(D5*1.5)</f>
        <v>15</v>
      </c>
      <c r="E6">
        <v>1.5</v>
      </c>
      <c r="G6" s="1">
        <f>SUM(G5,D6)</f>
        <v>25</v>
      </c>
      <c r="H6" s="4">
        <f t="shared" ref="H6:H14" si="0">SUM(G6/$N$5)</f>
        <v>8.3333333333333329E-2</v>
      </c>
    </row>
    <row r="7" spans="2:14">
      <c r="B7" t="s">
        <v>23</v>
      </c>
      <c r="C7" s="2">
        <f t="shared" ref="C7:C14" si="1">SUM(C6*1.1)</f>
        <v>0.4840000000000001</v>
      </c>
      <c r="D7" s="1">
        <f t="shared" ref="D7:D14" si="2">SUM(D6*1.5)</f>
        <v>22.5</v>
      </c>
      <c r="E7">
        <v>1.5</v>
      </c>
      <c r="G7" s="1">
        <f t="shared" ref="G7:G14" si="3">SUM(G6,D7)</f>
        <v>47.5</v>
      </c>
      <c r="H7" s="4">
        <f t="shared" si="0"/>
        <v>0.15833333333333333</v>
      </c>
    </row>
    <row r="8" spans="2:14">
      <c r="B8" t="s">
        <v>24</v>
      </c>
      <c r="C8" s="2">
        <f t="shared" si="1"/>
        <v>0.5324000000000001</v>
      </c>
      <c r="D8" s="1">
        <f t="shared" si="2"/>
        <v>33.75</v>
      </c>
      <c r="E8">
        <v>1.5</v>
      </c>
      <c r="G8" s="1">
        <f t="shared" si="3"/>
        <v>81.25</v>
      </c>
      <c r="H8" s="4">
        <f t="shared" si="0"/>
        <v>0.27083333333333331</v>
      </c>
    </row>
    <row r="9" spans="2:14">
      <c r="B9" t="s">
        <v>25</v>
      </c>
      <c r="C9" s="2">
        <f t="shared" si="1"/>
        <v>0.58564000000000016</v>
      </c>
      <c r="D9" s="1">
        <f t="shared" si="2"/>
        <v>50.625</v>
      </c>
      <c r="E9">
        <v>1.5</v>
      </c>
      <c r="G9" s="1">
        <f t="shared" si="3"/>
        <v>131.875</v>
      </c>
      <c r="H9" s="4">
        <f t="shared" si="0"/>
        <v>0.43958333333333333</v>
      </c>
    </row>
    <row r="10" spans="2:14">
      <c r="B10" t="s">
        <v>26</v>
      </c>
      <c r="C10" s="2">
        <f t="shared" si="1"/>
        <v>0.64420400000000022</v>
      </c>
      <c r="D10" s="1">
        <f t="shared" si="2"/>
        <v>75.9375</v>
      </c>
      <c r="E10">
        <v>1.5</v>
      </c>
      <c r="G10" s="1">
        <f t="shared" si="3"/>
        <v>207.8125</v>
      </c>
      <c r="H10" s="4">
        <f t="shared" si="0"/>
        <v>0.69270833333333337</v>
      </c>
    </row>
    <row r="11" spans="2:14">
      <c r="B11" t="s">
        <v>27</v>
      </c>
      <c r="C11" s="2">
        <f t="shared" si="1"/>
        <v>0.70862440000000027</v>
      </c>
      <c r="D11" s="1">
        <f t="shared" si="2"/>
        <v>113.90625</v>
      </c>
      <c r="E11">
        <v>1.5</v>
      </c>
      <c r="G11" s="1">
        <f t="shared" si="3"/>
        <v>321.71875</v>
      </c>
      <c r="H11" s="4">
        <f t="shared" si="0"/>
        <v>1.0723958333333334</v>
      </c>
    </row>
    <row r="12" spans="2:14">
      <c r="B12" t="s">
        <v>28</v>
      </c>
      <c r="C12" s="2">
        <f t="shared" si="1"/>
        <v>0.77948684000000035</v>
      </c>
      <c r="D12" s="1">
        <f t="shared" si="2"/>
        <v>170.859375</v>
      </c>
      <c r="E12">
        <v>1.5</v>
      </c>
      <c r="G12" s="1">
        <f t="shared" si="3"/>
        <v>492.578125</v>
      </c>
      <c r="H12" s="4">
        <f t="shared" si="0"/>
        <v>1.6419270833333333</v>
      </c>
    </row>
    <row r="13" spans="2:14">
      <c r="B13" t="s">
        <v>29</v>
      </c>
      <c r="C13" s="2">
        <f t="shared" si="1"/>
        <v>0.85743552400000045</v>
      </c>
      <c r="D13" s="1">
        <f t="shared" si="2"/>
        <v>256.2890625</v>
      </c>
      <c r="E13">
        <v>1.5</v>
      </c>
      <c r="G13" s="1">
        <f t="shared" si="3"/>
        <v>748.8671875</v>
      </c>
      <c r="H13" s="4">
        <f t="shared" si="0"/>
        <v>2.4962239583333332</v>
      </c>
    </row>
    <row r="14" spans="2:14">
      <c r="B14" t="s">
        <v>30</v>
      </c>
      <c r="C14" s="2">
        <f t="shared" si="1"/>
        <v>0.94317907640000054</v>
      </c>
      <c r="D14" s="1">
        <f t="shared" si="2"/>
        <v>384.43359375</v>
      </c>
      <c r="E14">
        <v>1.5</v>
      </c>
      <c r="G14" s="1">
        <f t="shared" si="3"/>
        <v>1133.30078125</v>
      </c>
      <c r="H14" s="4">
        <f t="shared" si="0"/>
        <v>3.7776692708333335</v>
      </c>
    </row>
    <row r="17" spans="2:8">
      <c r="B17" s="3" t="s">
        <v>19</v>
      </c>
      <c r="C17" t="s">
        <v>34</v>
      </c>
      <c r="D17" t="s">
        <v>35</v>
      </c>
      <c r="E17" t="s">
        <v>36</v>
      </c>
    </row>
    <row r="18" spans="2:8">
      <c r="B18" t="s">
        <v>21</v>
      </c>
      <c r="C18">
        <v>0.8</v>
      </c>
      <c r="D18" s="1">
        <v>384</v>
      </c>
      <c r="E18">
        <v>1</v>
      </c>
      <c r="G18" s="1">
        <f t="shared" ref="G18:G27" si="4">SUM(G17,D18)</f>
        <v>384</v>
      </c>
      <c r="H18" s="4">
        <f t="shared" ref="H18:H27" si="5">SUM(G18/$N$5)</f>
        <v>1.28</v>
      </c>
    </row>
    <row r="19" spans="2:8">
      <c r="B19" t="s">
        <v>22</v>
      </c>
      <c r="C19" s="2">
        <f>SUM(C18*1.1)</f>
        <v>0.88000000000000012</v>
      </c>
      <c r="D19">
        <f>SUM(D18*E19)</f>
        <v>768</v>
      </c>
      <c r="E19">
        <v>2</v>
      </c>
      <c r="G19" s="1">
        <f t="shared" si="4"/>
        <v>1152</v>
      </c>
      <c r="H19" s="4">
        <f t="shared" si="5"/>
        <v>3.84</v>
      </c>
    </row>
    <row r="20" spans="2:8">
      <c r="B20" t="s">
        <v>23</v>
      </c>
      <c r="C20" s="2">
        <f t="shared" ref="C20:C27" si="6">SUM(C19*1.1)</f>
        <v>0.96800000000000019</v>
      </c>
      <c r="D20">
        <f t="shared" ref="D20:D27" si="7">SUM(D19*E20)</f>
        <v>1536</v>
      </c>
      <c r="E20">
        <v>2</v>
      </c>
      <c r="G20" s="1">
        <f t="shared" si="4"/>
        <v>2688</v>
      </c>
      <c r="H20" s="4">
        <f t="shared" si="5"/>
        <v>8.9600000000000009</v>
      </c>
    </row>
    <row r="21" spans="2:8">
      <c r="B21" t="s">
        <v>24</v>
      </c>
      <c r="C21" s="2">
        <f t="shared" si="6"/>
        <v>1.0648000000000002</v>
      </c>
      <c r="D21">
        <f t="shared" si="7"/>
        <v>2304</v>
      </c>
      <c r="E21">
        <v>1.5</v>
      </c>
      <c r="G21" s="1">
        <f t="shared" si="4"/>
        <v>4992</v>
      </c>
      <c r="H21" s="4">
        <f t="shared" si="5"/>
        <v>16.64</v>
      </c>
    </row>
    <row r="22" spans="2:8">
      <c r="B22" t="s">
        <v>25</v>
      </c>
      <c r="C22" s="2">
        <f t="shared" si="6"/>
        <v>1.1712800000000003</v>
      </c>
      <c r="D22">
        <f t="shared" si="7"/>
        <v>3456</v>
      </c>
      <c r="E22">
        <v>1.5</v>
      </c>
      <c r="G22" s="1">
        <f t="shared" si="4"/>
        <v>8448</v>
      </c>
      <c r="H22" s="4">
        <f t="shared" si="5"/>
        <v>28.16</v>
      </c>
    </row>
    <row r="23" spans="2:8">
      <c r="B23" t="s">
        <v>26</v>
      </c>
      <c r="C23" s="2">
        <f t="shared" si="6"/>
        <v>1.2884080000000004</v>
      </c>
      <c r="D23">
        <f t="shared" si="7"/>
        <v>5184</v>
      </c>
      <c r="E23">
        <v>1.5</v>
      </c>
      <c r="G23" s="1">
        <f t="shared" si="4"/>
        <v>13632</v>
      </c>
      <c r="H23" s="4">
        <f t="shared" si="5"/>
        <v>45.44</v>
      </c>
    </row>
    <row r="24" spans="2:8">
      <c r="B24" t="s">
        <v>27</v>
      </c>
      <c r="C24" s="2">
        <f t="shared" si="6"/>
        <v>1.4172488000000005</v>
      </c>
      <c r="D24">
        <f t="shared" si="7"/>
        <v>7776</v>
      </c>
      <c r="E24">
        <v>1.5</v>
      </c>
      <c r="G24" s="1">
        <f t="shared" si="4"/>
        <v>21408</v>
      </c>
      <c r="H24" s="4">
        <f t="shared" si="5"/>
        <v>71.36</v>
      </c>
    </row>
    <row r="25" spans="2:8">
      <c r="B25" t="s">
        <v>28</v>
      </c>
      <c r="C25" s="2">
        <f t="shared" si="6"/>
        <v>1.5589736800000007</v>
      </c>
      <c r="D25">
        <f t="shared" si="7"/>
        <v>11664</v>
      </c>
      <c r="E25">
        <v>1.5</v>
      </c>
      <c r="G25" s="1">
        <f t="shared" si="4"/>
        <v>33072</v>
      </c>
      <c r="H25" s="4">
        <f t="shared" si="5"/>
        <v>110.24</v>
      </c>
    </row>
    <row r="26" spans="2:8">
      <c r="B26" t="s">
        <v>29</v>
      </c>
      <c r="C26" s="2">
        <f t="shared" si="6"/>
        <v>1.7148710480000009</v>
      </c>
      <c r="D26">
        <f t="shared" si="7"/>
        <v>17496</v>
      </c>
      <c r="E26">
        <v>1.5</v>
      </c>
      <c r="G26" s="1">
        <f t="shared" si="4"/>
        <v>50568</v>
      </c>
      <c r="H26" s="4">
        <f t="shared" si="5"/>
        <v>168.56</v>
      </c>
    </row>
    <row r="27" spans="2:8">
      <c r="B27" t="s">
        <v>30</v>
      </c>
      <c r="C27" s="2">
        <f t="shared" si="6"/>
        <v>1.8863581528000011</v>
      </c>
      <c r="D27">
        <f t="shared" si="7"/>
        <v>26244</v>
      </c>
      <c r="E27">
        <v>1.5</v>
      </c>
      <c r="G27" s="1">
        <f t="shared" si="4"/>
        <v>76812</v>
      </c>
      <c r="H27" s="4">
        <f t="shared" si="5"/>
        <v>256.04000000000002</v>
      </c>
    </row>
    <row r="30" spans="2:8">
      <c r="B30" s="3" t="s">
        <v>20</v>
      </c>
      <c r="C30" t="s">
        <v>34</v>
      </c>
      <c r="D30" t="s">
        <v>35</v>
      </c>
      <c r="E30" t="s">
        <v>36</v>
      </c>
    </row>
    <row r="31" spans="2:8">
      <c r="B31" t="s">
        <v>21</v>
      </c>
      <c r="C31">
        <v>1.5</v>
      </c>
      <c r="D31" s="1">
        <v>26244</v>
      </c>
      <c r="E31">
        <v>1</v>
      </c>
      <c r="G31" s="1">
        <f t="shared" ref="G31:G40" si="8">SUM(G30,D31)</f>
        <v>26244</v>
      </c>
      <c r="H31" s="4">
        <f t="shared" ref="H31:H40" si="9">SUM(G31/$N$5)</f>
        <v>87.48</v>
      </c>
    </row>
    <row r="32" spans="2:8">
      <c r="B32" t="s">
        <v>22</v>
      </c>
      <c r="C32" s="2">
        <f t="shared" ref="C32:C40" si="10">SUM(C31*1.1)</f>
        <v>1.6500000000000001</v>
      </c>
      <c r="D32" s="1">
        <f t="shared" ref="D32:D40" si="11">SUM(D31*E32)</f>
        <v>28868.400000000001</v>
      </c>
      <c r="E32">
        <v>1.1000000000000001</v>
      </c>
      <c r="G32" s="1">
        <f t="shared" si="8"/>
        <v>55112.4</v>
      </c>
      <c r="H32" s="4">
        <f t="shared" si="9"/>
        <v>183.708</v>
      </c>
    </row>
    <row r="33" spans="2:8">
      <c r="B33" t="s">
        <v>23</v>
      </c>
      <c r="C33" s="2">
        <f t="shared" si="10"/>
        <v>1.8150000000000004</v>
      </c>
      <c r="D33" s="1">
        <f t="shared" si="11"/>
        <v>31755.240000000005</v>
      </c>
      <c r="E33">
        <v>1.1000000000000001</v>
      </c>
      <c r="G33" s="1">
        <f t="shared" si="8"/>
        <v>86867.640000000014</v>
      </c>
      <c r="H33" s="4">
        <f t="shared" si="9"/>
        <v>289.55880000000002</v>
      </c>
    </row>
    <row r="34" spans="2:8">
      <c r="B34" t="s">
        <v>24</v>
      </c>
      <c r="C34" s="2">
        <f t="shared" si="10"/>
        <v>1.9965000000000006</v>
      </c>
      <c r="D34" s="1">
        <f t="shared" si="11"/>
        <v>34930.76400000001</v>
      </c>
      <c r="E34">
        <v>1.1000000000000001</v>
      </c>
      <c r="G34" s="1">
        <f t="shared" si="8"/>
        <v>121798.40400000002</v>
      </c>
      <c r="H34" s="4">
        <f t="shared" si="9"/>
        <v>405.99468000000007</v>
      </c>
    </row>
    <row r="35" spans="2:8">
      <c r="B35" t="s">
        <v>25</v>
      </c>
      <c r="C35" s="2">
        <f t="shared" si="10"/>
        <v>2.1961500000000007</v>
      </c>
      <c r="D35" s="1">
        <f t="shared" si="11"/>
        <v>38423.840400000016</v>
      </c>
      <c r="E35">
        <v>1.1000000000000001</v>
      </c>
      <c r="G35" s="1">
        <f t="shared" si="8"/>
        <v>160222.24440000003</v>
      </c>
      <c r="H35" s="4">
        <f t="shared" si="9"/>
        <v>534.07414800000004</v>
      </c>
    </row>
    <row r="36" spans="2:8">
      <c r="B36" t="s">
        <v>26</v>
      </c>
      <c r="C36" s="2">
        <f t="shared" si="10"/>
        <v>2.4157650000000008</v>
      </c>
      <c r="D36" s="1">
        <f t="shared" si="11"/>
        <v>42266.22444000002</v>
      </c>
      <c r="E36">
        <v>1.1000000000000001</v>
      </c>
      <c r="G36" s="1">
        <f t="shared" si="8"/>
        <v>202488.46884000005</v>
      </c>
      <c r="H36" s="4">
        <f t="shared" si="9"/>
        <v>674.96156280000014</v>
      </c>
    </row>
    <row r="37" spans="2:8">
      <c r="B37" t="s">
        <v>27</v>
      </c>
      <c r="C37" s="2">
        <f t="shared" si="10"/>
        <v>2.6573415000000011</v>
      </c>
      <c r="D37" s="1">
        <f t="shared" si="11"/>
        <v>46492.846884000028</v>
      </c>
      <c r="E37">
        <v>1.1000000000000001</v>
      </c>
      <c r="G37" s="1">
        <f t="shared" si="8"/>
        <v>248981.31572400007</v>
      </c>
      <c r="H37" s="4">
        <f t="shared" si="9"/>
        <v>829.93771908000019</v>
      </c>
    </row>
    <row r="38" spans="2:8">
      <c r="B38" t="s">
        <v>28</v>
      </c>
      <c r="C38" s="2">
        <f t="shared" si="10"/>
        <v>2.9230756500000017</v>
      </c>
      <c r="D38" s="1">
        <f t="shared" si="11"/>
        <v>51142.131572400038</v>
      </c>
      <c r="E38">
        <v>1.1000000000000001</v>
      </c>
      <c r="G38" s="1">
        <f t="shared" si="8"/>
        <v>300123.44729640009</v>
      </c>
      <c r="H38" s="4">
        <f t="shared" si="9"/>
        <v>1000.4114909880003</v>
      </c>
    </row>
    <row r="39" spans="2:8">
      <c r="B39" t="s">
        <v>29</v>
      </c>
      <c r="C39" s="2">
        <f t="shared" si="10"/>
        <v>3.2153832150000019</v>
      </c>
      <c r="D39" s="1">
        <f t="shared" si="11"/>
        <v>56256.344729640048</v>
      </c>
      <c r="E39">
        <v>1.1000000000000001</v>
      </c>
      <c r="G39" s="1">
        <f t="shared" si="8"/>
        <v>356379.79202604014</v>
      </c>
      <c r="H39" s="4">
        <f t="shared" si="9"/>
        <v>1187.9326400868006</v>
      </c>
    </row>
    <row r="40" spans="2:8">
      <c r="B40" t="s">
        <v>30</v>
      </c>
      <c r="C40" s="2">
        <f t="shared" si="10"/>
        <v>3.5369215365000022</v>
      </c>
      <c r="D40" s="1">
        <f t="shared" si="11"/>
        <v>61881.97920260406</v>
      </c>
      <c r="E40">
        <v>1.1000000000000001</v>
      </c>
      <c r="G40" s="1">
        <f t="shared" si="8"/>
        <v>418261.77122864418</v>
      </c>
      <c r="H40" s="4">
        <f t="shared" si="9"/>
        <v>1394.2059040954807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FE29-1250-4870-988D-EA3E8BF998B0}">
  <dimension ref="C5:F14"/>
  <sheetViews>
    <sheetView workbookViewId="0">
      <selection activeCell="H31" sqref="H31"/>
    </sheetView>
  </sheetViews>
  <sheetFormatPr baseColWidth="10" defaultColWidth="8.83203125" defaultRowHeight="15"/>
  <sheetData>
    <row r="5" spans="3:6">
      <c r="C5" t="s">
        <v>38</v>
      </c>
    </row>
    <row r="6" spans="3:6">
      <c r="D6">
        <v>50</v>
      </c>
    </row>
    <row r="8" spans="3:6">
      <c r="C8" t="s">
        <v>39</v>
      </c>
      <c r="F8" t="s">
        <v>48</v>
      </c>
    </row>
    <row r="9" spans="3:6">
      <c r="D9">
        <v>20</v>
      </c>
      <c r="F9">
        <v>140</v>
      </c>
    </row>
    <row r="11" spans="3:6">
      <c r="C11" t="s">
        <v>40</v>
      </c>
    </row>
    <row r="13" spans="3:6">
      <c r="D13" t="s">
        <v>41</v>
      </c>
      <c r="E13" t="s">
        <v>42</v>
      </c>
    </row>
    <row r="14" spans="3:6">
      <c r="D14">
        <v>5</v>
      </c>
      <c r="E14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EF0E-71CD-4D55-9046-A9D9517A4FBB}">
  <dimension ref="C4:K30"/>
  <sheetViews>
    <sheetView workbookViewId="0">
      <selection activeCell="M16" sqref="M16"/>
    </sheetView>
  </sheetViews>
  <sheetFormatPr baseColWidth="10" defaultColWidth="8.83203125" defaultRowHeight="15"/>
  <sheetData>
    <row r="4" spans="3:11">
      <c r="D4" t="s">
        <v>66</v>
      </c>
    </row>
    <row r="5" spans="3:11" ht="18">
      <c r="C5" t="s">
        <v>63</v>
      </c>
      <c r="D5" s="7" t="s">
        <v>68</v>
      </c>
      <c r="K5" s="8"/>
    </row>
    <row r="7" spans="3:11">
      <c r="K7" s="8"/>
    </row>
    <row r="8" spans="3:11">
      <c r="C8" t="s">
        <v>65</v>
      </c>
      <c r="D8" t="s">
        <v>67</v>
      </c>
    </row>
    <row r="10" spans="3:11">
      <c r="K10" s="8"/>
    </row>
    <row r="11" spans="3:11" ht="18">
      <c r="C11" t="s">
        <v>64</v>
      </c>
      <c r="D11" s="7" t="s">
        <v>69</v>
      </c>
    </row>
    <row r="16" spans="3:11">
      <c r="C16" s="9" t="s">
        <v>70</v>
      </c>
    </row>
    <row r="17" spans="3:3">
      <c r="C17" s="10" t="s">
        <v>71</v>
      </c>
    </row>
    <row r="18" spans="3:3">
      <c r="C18" s="10" t="s">
        <v>72</v>
      </c>
    </row>
    <row r="19" spans="3:3">
      <c r="C19" s="10" t="s">
        <v>73</v>
      </c>
    </row>
    <row r="20" spans="3:3">
      <c r="C20" s="10" t="s">
        <v>74</v>
      </c>
    </row>
    <row r="21" spans="3:3">
      <c r="C21" s="8"/>
    </row>
    <row r="24" spans="3:3">
      <c r="C24" s="10" t="s">
        <v>75</v>
      </c>
    </row>
    <row r="27" spans="3:3">
      <c r="C27" s="8"/>
    </row>
    <row r="30" spans="3:3">
      <c r="C30" s="8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C89D-707F-44F9-AAC0-306CCB3F2E30}">
  <dimension ref="C7:F16"/>
  <sheetViews>
    <sheetView workbookViewId="0">
      <selection activeCell="M33" sqref="M33"/>
    </sheetView>
  </sheetViews>
  <sheetFormatPr baseColWidth="10" defaultColWidth="8.83203125" defaultRowHeight="15"/>
  <sheetData>
    <row r="7" spans="3:6">
      <c r="D7" t="s">
        <v>54</v>
      </c>
      <c r="E7" t="s">
        <v>55</v>
      </c>
      <c r="F7" t="s">
        <v>56</v>
      </c>
    </row>
    <row r="8" spans="3:6">
      <c r="C8" t="s">
        <v>57</v>
      </c>
      <c r="D8">
        <v>8</v>
      </c>
      <c r="E8">
        <v>15</v>
      </c>
      <c r="F8">
        <v>24</v>
      </c>
    </row>
    <row r="10" spans="3:6">
      <c r="C10" t="s">
        <v>58</v>
      </c>
    </row>
    <row r="11" spans="3:6">
      <c r="C11" t="s">
        <v>59</v>
      </c>
    </row>
    <row r="12" spans="3:6">
      <c r="C12" t="s">
        <v>60</v>
      </c>
    </row>
    <row r="13" spans="3:6">
      <c r="C13" t="s">
        <v>61</v>
      </c>
    </row>
    <row r="16" spans="3:6">
      <c r="C16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等级（原始）</vt:lpstr>
      <vt:lpstr>等级（额外奖励）</vt:lpstr>
      <vt:lpstr>经验加成</vt:lpstr>
      <vt:lpstr>钻石产出</vt:lpstr>
      <vt:lpstr>战斗公式</vt:lpstr>
      <vt:lpstr>初始数据说明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abao</dc:creator>
  <cp:lastModifiedBy>Microsoft Office User</cp:lastModifiedBy>
  <dcterms:created xsi:type="dcterms:W3CDTF">2015-06-05T18:19:34Z</dcterms:created>
  <dcterms:modified xsi:type="dcterms:W3CDTF">2026-01-06T13:04:03Z</dcterms:modified>
</cp:coreProperties>
</file>